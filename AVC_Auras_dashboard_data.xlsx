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80e9a294e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financials" sheetId="1" r:id="R423aa68349224b01"/>
    <x:sheet xmlns:r="http://schemas.openxmlformats.org/officeDocument/2006/relationships" name="profitability_metrics" sheetId="2" r:id="R5e71e1dccb9d4c32"/>
    <x:sheet xmlns:r="http://schemas.openxmlformats.org/officeDocument/2006/relationships" name="liquidity_metrics" sheetId="3" r:id="R06bf2e3e997e48d7"/>
    <x:sheet xmlns:r="http://schemas.openxmlformats.org/officeDocument/2006/relationships" name="dashboard" sheetId="4" r:id="R511b27e7be0841c2"/>
  </x:sheets>
</x:workbook>
</file>

<file path=xl/sharedStrings.xml><?xml version="1.0" encoding="utf-8"?>
<x:sst xmlns:x="http://schemas.openxmlformats.org/spreadsheetml/2006/main">
  <x:si>
    <x:t xml:space="preserve">company</x:t>
  </x:si>
  <x:si>
    <x:t xml:space="preserve">scope</x:t>
  </x:si>
  <x:si>
    <x:t xml:space="preserve">year</x:t>
  </x:si>
  <x:si>
    <x:t xml:space="preserve">statement</x:t>
  </x:si>
  <x:si>
    <x:t xml:space="preserve">account</x:t>
  </x:si>
  <x:si>
    <x:t xml:space="preserve">value</x:t>
  </x:si>
  <x:si>
    <x:t xml:space="preserve">unit</x:t>
  </x:si>
  <x:si>
    <x:t xml:space="preserve">source_page</x:t>
  </x:si>
  <x:si>
    <x:t xml:space="preserve">source_file</x:t>
  </x:si>
  <x:si>
    <x:t xml:space="preserve">AVC</x:t>
  </x:si>
  <x:si>
    <x:t xml:space="preserve">Consolidated</x:t>
  </x:si>
  <x:si>
    <x:t xml:space="preserve">Balance Sheet</x:t>
  </x:si>
  <x:si>
    <x:t xml:space="preserve">Cash and Cash Equivalents</x:t>
  </x:si>
  <x:si>
    <x:t xml:space="preserve">TWD thousand</x:t>
  </x:si>
  <x:si>
    <x:t xml:space="preserve">p.5</x:t>
  </x:si>
  <x:si>
    <x:t xml:space="preserve">AVC_Consolidated_2025</x:t>
  </x:si>
  <x:si>
    <x:t xml:space="preserve">Inventory</x:t>
  </x:si>
  <x:si>
    <x:t xml:space="preserve">Current Assets</x:t>
  </x:si>
  <x:si>
    <x:t xml:space="preserve">Current Liabilities</x:t>
  </x:si>
  <x:si>
    <x:t xml:space="preserve">p.6</x:t>
  </x:si>
  <x:si>
    <x:t xml:space="preserve">Total Assets</x:t>
  </x:si>
  <x:si>
    <x:t xml:space="preserve">Standalone</x:t>
  </x:si>
  <x:si>
    <x:t xml:space="preserve">p.4</x:t>
  </x:si>
  <x:si>
    <x:t xml:space="preserve">AVC_Standalone_2025</x:t>
  </x:si>
  <x:si>
    <x:t xml:space="preserve">Auras</x:t>
  </x:si>
  <x:si>
    <x:t xml:space="preserve">p.11</x:t>
  </x:si>
  <x:si>
    <x:t xml:space="preserve">Auras_Consolidated_2025</x:t>
  </x:si>
  <x:si>
    <x:t xml:space="preserve">p.12</x:t>
  </x:si>
  <x:si>
    <x:t xml:space="preserve">Prepayments</x:t>
  </x:si>
  <x:si>
    <x:t xml:space="preserve">Other Current Assets</x:t>
  </x:si>
  <x:si>
    <x:t xml:space="preserve">Income Statement</x:t>
  </x:si>
  <x:si>
    <x:t xml:space="preserve">Revenue</x:t>
  </x:si>
  <x:si>
    <x:t xml:space="preserve">p.7</x:t>
  </x:si>
  <x:si>
    <x:t xml:space="preserve">Gross Profit</x:t>
  </x:si>
  <x:si>
    <x:t xml:space="preserve">Operating Profit</x:t>
  </x:si>
  <x:si>
    <x:t xml:space="preserve">Net Income Attributable to Parent</x:t>
  </x:si>
  <x:si>
    <x:t xml:space="preserve">Basic EPS</x:t>
  </x:si>
  <x:si>
    <x:t xml:space="preserve">TWD per share</x:t>
  </x:si>
  <x:si>
    <x:t xml:space="preserve">p.13</x:t>
  </x:si>
  <x:si>
    <x:t xml:space="preserve">revenue</x:t>
  </x:si>
  <x:si>
    <x:t xml:space="preserve">gross_profit</x:t>
  </x:si>
  <x:si>
    <x:t xml:space="preserve">operating_profit</x:t>
  </x:si>
  <x:si>
    <x:t xml:space="preserve">net_income_parent</x:t>
  </x:si>
  <x:si>
    <x:t xml:space="preserve">basic_eps</x:t>
  </x:si>
  <x:si>
    <x:t xml:space="preserve">gross_margin</x:t>
  </x:si>
  <x:si>
    <x:t xml:space="preserve">operating_margin</x:t>
  </x:si>
  <x:si>
    <x:t xml:space="preserve">net_margin_parent</x:t>
  </x:si>
  <x:si>
    <x:t xml:space="preserve">current_assets</x:t>
  </x:si>
  <x:si>
    <x:t xml:space="preserve">current_liabilities</x:t>
  </x:si>
  <x:si>
    <x:t xml:space="preserve">cash</x:t>
  </x:si>
  <x:si>
    <x:t xml:space="preserve">total_assets</x:t>
  </x:si>
  <x:si>
    <x:t xml:space="preserve">current_ratio</x:t>
  </x:si>
  <x:si>
    <x:t xml:space="preserve">cash_ratio</x:t>
  </x:si>
  <x:si>
    <x:t xml:space="preserve">nwc_to_assets</x:t>
  </x:si>
  <x:si>
    <x:t xml:space="preserve">inventory</x:t>
  </x:si>
  <x:si>
    <x:t xml:space="preserve">prepayments</x:t>
  </x:si>
  <x:si>
    <x:t xml:space="preserve">other_current_assets</x:t>
  </x:si>
  <x:si>
    <x:t xml:space="preserve">quick_ratio</x:t>
  </x:si>
  <x:si>
    <x:t xml:space="preserve">Entity</x:t>
  </x:si>
  <x:si>
    <x:t xml:space="preserve">Liquidity Dashboard
AVC Standalone vs. Consolidated and Peer Benchmarking</x:t>
  </x:si>
  <x:si>
    <x:t xml:space="preserve">AVC Consolidated</x:t>
  </x:si>
  <x:si>
    <x:t xml:space="preserve">AVC Standalone</x:t>
  </x:si>
  <x:si>
    <x:t xml:space="preserve">Auras Consolidated</x:t>
  </x:si>
  <x:si>
    <x:t xml:space="preserve">Current Ratio Change</x:t>
  </x:si>
  <x:si>
    <x:t xml:space="preserve">Quick Ratio Change</x:t>
  </x:si>
</x:sst>
</file>

<file path=xl/styles.xml><?xml version="1.0" encoding="utf-8"?>
<x:styleSheet xmlns:x="http://schemas.openxmlformats.org/spreadsheetml/2006/main">
  <x:numFmts count="2">
    <x:numFmt numFmtId="41" formatCode="_-* #,##0_-;\-* #,##0_-;_-* &quot;-&quot;_-;_-@_-"/>
    <x:numFmt numFmtId="43" formatCode="_-* #,##0.00_-;\-* #,##0.00_-;_-* &quot;-&quot;??_-;_-@_-"/>
  </x:numFmts>
  <x:fonts count="8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  <x:font>
      <x:sz val="12"/>
      <x:color theme="1"/>
      <x:name val="新細明體"/>
    </x:font>
    <x:font>
      <x:sz val="10"/>
      <x:color theme="1"/>
      <x:name val="Arial Unicode MS"/>
    </x:font>
    <x:font>
      <x:sz val="10"/>
      <x:color theme="9"/>
      <x:name val="Arial Unicode MS"/>
    </x:font>
    <x:font>
      <x:sz val="10"/>
      <x:color rgb="FFFF0000"/>
      <x:name val="Arial Unicode MS"/>
    </x:font>
    <x:font>
      <x:sz val="12"/>
      <x:color theme="1"/>
      <x:name val="新細明體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</x:fills>
  <x:borders count="1">
    <x:border/>
  </x:borders>
  <x:cellStyleXfs count="3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</x:cellStyleXfs>
  <x:cellXfs count="22">
    <x:xf numFmtId="0" fontId="0" fillId="0" borderId="0" xfId="0">
      <x:alignment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left" vertical="center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left" vertical="center"/>
    </x:xf>
    <x:xf numFmtId="41" fontId="2" fillId="0" borderId="0" xfId="1" applyNumberFormat="1" applyFont="1">
      <x:alignment vertical="center"/>
    </x:xf>
    <x:xf numFmtId="41" fontId="0" fillId="0" borderId="0" xfId="1" applyNumberFormat="1" applyFont="1" applyAlignment="1">
      <x:alignment horizontal="left" vertical="center"/>
    </x:xf>
    <x:xf numFmtId="10" fontId="2" fillId="0" borderId="0" xfId="2" applyNumberFormat="1" applyFont="1">
      <x:alignment vertical="center"/>
    </x:xf>
    <x:xf numFmtId="10" fontId="0" fillId="0" borderId="0" xfId="2" applyNumberFormat="1" applyFont="1" applyAlignment="1">
      <x:alignment horizontal="left" vertical="center"/>
    </x:xf>
  </x:cellXfs>
  <x:cellStyles count="3">
    <x:cellStyle name="一般" xfId="0"/>
    <x:cellStyle name="千分位" xfId="1"/>
    <x:cellStyle name="百分比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0e78d3c3544e1" /><Relationship Type="http://schemas.openxmlformats.org/officeDocument/2006/relationships/theme" Target="/xl/theme/theme1.xml" Id="R8596366e968c4924" /><Relationship Type="http://schemas.openxmlformats.org/officeDocument/2006/relationships/sharedStrings" Target="/xl/sharedStrings.xml" Id="R4d6ff88efeeb401a" /><Relationship Type="http://schemas.openxmlformats.org/officeDocument/2006/relationships/worksheet" Target="/xl/worksheets/sheet1.xml" Id="R423aa68349224b01" /><Relationship Type="http://schemas.openxmlformats.org/officeDocument/2006/relationships/worksheet" Target="/xl/worksheets/sheet2.xml" Id="R5e71e1dccb9d4c32" /><Relationship Type="http://schemas.openxmlformats.org/officeDocument/2006/relationships/worksheet" Target="/xl/worksheets/sheet3.xml" Id="R06bf2e3e997e48d7" /><Relationship Type="http://schemas.openxmlformats.org/officeDocument/2006/relationships/worksheet" Target="/xl/worksheets/sheet4.xml" Id="R511b27e7be0841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f8e1bbad7a481a" /><Relationship Type="http://schemas.openxmlformats.org/officeDocument/2006/relationships/chart" Target="/xl/drawings/charts/chart2.xml" Id="Rcdc3ea64ea654b18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Current Ratio Comparison (2024–2025)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2024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dashboard!$A$2:$A$4</c:f>
              <c:strCache>
                <c:ptCount val="3"/>
                <c:pt idx="0">
                  <c:v>AVC Consolidated</c:v>
                </c:pt>
                <c:pt idx="1">
                  <c:v>AVC Standalone</c:v>
                </c:pt>
                <c:pt idx="2">
                  <c:v>Auras Consolidated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1.3054521087193642</c:v>
                </c:pt>
                <c:pt idx="1">
                  <c:v>1.1606089746778696</c:v>
                </c:pt>
                <c:pt idx="2">
                  <c:v>1.9790857006914668</c:v>
                </c:pt>
              </c:numCache>
            </c:numRef>
          </c:val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2025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dashboard!$A$2:$A$4</c:f>
              <c:strCache>
                <c:ptCount val="3"/>
                <c:pt idx="0">
                  <c:v>AVC Consolidated</c:v>
                </c:pt>
                <c:pt idx="1">
                  <c:v>AVC Standalone</c:v>
                </c:pt>
                <c:pt idx="2">
                  <c:v>Auras Consolidated</c:v>
                </c:pt>
              </c:strCache>
            </c:strRef>
          </c:cat>
          <c:val>
            <c:numRef>
              <c:f>dashboard!$C$2:$C$4</c:f>
              <c:numCache>
                <c:formatCode>General</c:formatCode>
                <c:ptCount val="3"/>
                <c:pt idx="0">
                  <c:v>1.2941763375997835</c:v>
                </c:pt>
                <c:pt idx="1">
                  <c:v>1.3532246067908988</c:v>
                </c:pt>
                <c:pt idx="2">
                  <c:v>1.4842595174509359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Quick Ratio Comparison (2024–2025)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2024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dashboard!$A$8:$A$10</c:f>
              <c:strCache>
                <c:ptCount val="3"/>
                <c:pt idx="0">
                  <c:v>AVC Consolidated</c:v>
                </c:pt>
                <c:pt idx="1">
                  <c:v>AVC Standalone</c:v>
                </c:pt>
                <c:pt idx="2">
                  <c:v>Auras Consolidated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0.6914895153774544</c:v>
                </c:pt>
                <c:pt idx="1">
                  <c:v>0.527995886374061</c:v>
                </c:pt>
                <c:pt idx="2">
                  <c:v>1.4225376741714528</c:v>
                </c:pt>
              </c:numCache>
            </c:numRef>
          </c:val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2025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dashboard!$A$8:$A$10</c:f>
              <c:strCache>
                <c:ptCount val="3"/>
                <c:pt idx="0">
                  <c:v>AVC Consolidated</c:v>
                </c:pt>
                <c:pt idx="1">
                  <c:v>AVC Standalone</c:v>
                </c:pt>
                <c:pt idx="2">
                  <c:v>Auras Consolidated</c:v>
                </c:pt>
              </c:strCache>
            </c:strRef>
          </c:cat>
          <c:val>
            <c:numRef>
              <c:f>dashboard!$C$8:$C$10</c:f>
              <c:numCache>
                <c:formatCode>General</c:formatCode>
                <c:ptCount val="3"/>
                <c:pt idx="0">
                  <c:v>0.7554609489442878</c:v>
                </c:pt>
                <c:pt idx="1">
                  <c:v>0.7302944999475457</c:v>
                </c:pt>
                <c:pt idx="2">
                  <c:v>0.9333083712555685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212725</xdr:rowOff>
    </xdr:from>
    <xdr:to>
      <xdr:col>12</xdr:col>
      <xdr:colOff>304800</xdr:colOff>
      <xdr:row>12</xdr:row>
      <xdr:rowOff>149225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8e1bbad7a481a"/>
        </a:graphicData>
      </a:graphic>
    </xdr:graphicFrame>
    <xdr:clientData/>
  </xdr:twoCellAnchor>
  <xdr:twoCellAnchor>
    <xdr:from>
      <xdr:col>12</xdr:col>
      <xdr:colOff>444500</xdr:colOff>
      <xdr:row>2</xdr:row>
      <xdr:rowOff>3175</xdr:rowOff>
    </xdr:from>
    <xdr:to>
      <xdr:col>20</xdr:col>
      <xdr:colOff>139700</xdr:colOff>
      <xdr:row>12</xdr:row>
      <xdr:rowOff>155575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c3ea64ea654b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77fb1b656f44f6f" /></Relationships>
</file>

<file path=xl/worksheets/sheet1.xml><?xml version="1.0" encoding="utf-8"?>
<x:worksheet xmlns:x="http://schemas.openxmlformats.org/spreadsheetml/2006/main">
  <x:sheetFormatPr defaultRowHeight="17"/>
  <x:cols>
    <x:col min="1" max="1" width="8.7265625" style="2" customWidth="0"/>
    <x:col min="2" max="2" width="17.453125" style="2" customWidth="1"/>
    <x:col min="3" max="3" width="8.81640625" style="2" customWidth="1"/>
    <x:col min="4" max="4" width="13" style="2" customWidth="1"/>
    <x:col min="5" max="5" width="25.7265625" style="2" customWidth="1"/>
    <x:col min="6" max="6" width="12.26953125" style="2" customWidth="1"/>
    <x:col min="7" max="7" width="19.54296875" style="2" customWidth="1"/>
    <x:col min="8" max="8" width="16.08984375" style="2" customWidth="1"/>
    <x:col min="9" max="9" width="23.1796875" style="2" customWidth="1"/>
    <x:col min="10" max="16384" width="8.7265625" style="2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3" t="s">
        <x:v>9</x:v>
      </x:c>
      <x:c r="B2" s="3" t="s">
        <x:v>10</x:v>
      </x:c>
      <x:c r="C2" s="3">
        <x:v>2024</x:v>
      </x:c>
      <x:c r="D2" s="3" t="s">
        <x:v>11</x:v>
      </x:c>
      <x:c r="E2" s="3" t="s">
        <x:v>12</x:v>
      </x:c>
      <x:c r="F2" s="3">
        <x:v>29923508</x:v>
      </x:c>
      <x:c r="G2" s="3" t="s">
        <x:v>13</x:v>
      </x:c>
      <x:c r="H2" s="3" t="s">
        <x:v>14</x:v>
      </x:c>
      <x:c r="I2" s="3" t="s">
        <x:v>15</x:v>
      </x:c>
    </x:row>
    <x:row r="3">
      <x:c r="A3" s="3" t="s">
        <x:v>9</x:v>
      </x:c>
      <x:c r="B3" s="3" t="s">
        <x:v>10</x:v>
      </x:c>
      <x:c r="C3" s="3">
        <x:v>2025</x:v>
      </x:c>
      <x:c r="D3" s="3" t="s">
        <x:v>11</x:v>
      </x:c>
      <x:c r="E3" s="3" t="s">
        <x:v>12</x:v>
      </x:c>
      <x:c r="F3" s="3">
        <x:v>58529798</x:v>
      </x:c>
      <x:c r="G3" s="3" t="s">
        <x:v>13</x:v>
      </x:c>
      <x:c r="H3" s="3" t="s">
        <x:v>14</x:v>
      </x:c>
      <x:c r="I3" s="2" t="s">
        <x:v>15</x:v>
      </x:c>
    </x:row>
    <x:row r="4">
      <x:c r="A4" s="3" t="s">
        <x:v>9</x:v>
      </x:c>
      <x:c r="B4" s="3" t="s">
        <x:v>10</x:v>
      </x:c>
      <x:c r="C4" s="3">
        <x:v>2024</x:v>
      </x:c>
      <x:c r="D4" s="3" t="s">
        <x:v>11</x:v>
      </x:c>
      <x:c r="E4" s="3" t="s">
        <x:v>16</x:v>
      </x:c>
      <x:c r="F4" s="3">
        <x:v>33397345</x:v>
      </x:c>
      <x:c r="G4" s="3" t="s">
        <x:v>13</x:v>
      </x:c>
      <x:c r="H4" s="3" t="s">
        <x:v>14</x:v>
      </x:c>
      <x:c r="I4" s="3" t="s">
        <x:v>15</x:v>
      </x:c>
    </x:row>
    <x:row r="5">
      <x:c r="A5" s="3" t="s">
        <x:v>9</x:v>
      </x:c>
      <x:c r="B5" s="3" t="s">
        <x:v>10</x:v>
      </x:c>
      <x:c r="C5" s="3">
        <x:v>2025</x:v>
      </x:c>
      <x:c r="D5" s="3" t="s">
        <x:v>11</x:v>
      </x:c>
      <x:c r="E5" s="3" t="s">
        <x:v>16</x:v>
      </x:c>
      <x:c r="F5" s="3">
        <x:v>49572264</x:v>
      </x:c>
      <x:c r="G5" s="3" t="s">
        <x:v>13</x:v>
      </x:c>
      <x:c r="H5" s="3" t="s">
        <x:v>14</x:v>
      </x:c>
      <x:c r="I5" s="2" t="s">
        <x:v>15</x:v>
      </x:c>
    </x:row>
    <x:row r="6">
      <x:c r="A6" s="3" t="s">
        <x:v>9</x:v>
      </x:c>
      <x:c r="B6" s="3" t="s">
        <x:v>10</x:v>
      </x:c>
      <x:c r="C6" s="3">
        <x:v>2024</x:v>
      </x:c>
      <x:c r="D6" s="3" t="s">
        <x:v>11</x:v>
      </x:c>
      <x:c r="E6" s="3" t="s">
        <x:v>17</x:v>
      </x:c>
      <x:c r="F6" s="3">
        <x:v>76092357</x:v>
      </x:c>
      <x:c r="G6" s="3" t="s">
        <x:v>13</x:v>
      </x:c>
      <x:c r="H6" s="3" t="s">
        <x:v>14</x:v>
      </x:c>
      <x:c r="I6" s="3" t="s">
        <x:v>15</x:v>
      </x:c>
    </x:row>
    <x:row r="7">
      <x:c r="A7" s="3" t="s">
        <x:v>9</x:v>
      </x:c>
      <x:c r="B7" s="3" t="s">
        <x:v>10</x:v>
      </x:c>
      <x:c r="C7" s="3">
        <x:v>2025</x:v>
      </x:c>
      <x:c r="D7" s="3" t="s">
        <x:v>11</x:v>
      </x:c>
      <x:c r="E7" s="3" t="s">
        <x:v>17</x:v>
      </x:c>
      <x:c r="F7" s="3">
        <x:v>126176263</x:v>
      </x:c>
      <x:c r="G7" s="3" t="s">
        <x:v>13</x:v>
      </x:c>
      <x:c r="H7" s="3" t="s">
        <x:v>14</x:v>
      </x:c>
      <x:c r="I7" s="2" t="s">
        <x:v>15</x:v>
      </x:c>
    </x:row>
    <x:row r="8">
      <x:c r="A8" s="3" t="s">
        <x:v>9</x:v>
      </x:c>
      <x:c r="B8" s="3" t="s">
        <x:v>10</x:v>
      </x:c>
      <x:c r="C8" s="3">
        <x:v>2024</x:v>
      </x:c>
      <x:c r="D8" s="3" t="s">
        <x:v>11</x:v>
      </x:c>
      <x:c r="E8" s="3" t="s">
        <x:v>18</x:v>
      </x:c>
      <x:c r="F8" s="3">
        <x:v>58288126</x:v>
      </x:c>
      <x:c r="G8" s="3" t="s">
        <x:v>13</x:v>
      </x:c>
      <x:c r="H8" s="3" t="s">
        <x:v>19</x:v>
      </x:c>
      <x:c r="I8" s="3" t="s">
        <x:v>15</x:v>
      </x:c>
    </x:row>
    <x:row r="9">
      <x:c r="A9" s="3" t="s">
        <x:v>9</x:v>
      </x:c>
      <x:c r="B9" s="3" t="s">
        <x:v>10</x:v>
      </x:c>
      <x:c r="C9" s="3">
        <x:v>2025</x:v>
      </x:c>
      <x:c r="D9" s="3" t="s">
        <x:v>11</x:v>
      </x:c>
      <x:c r="E9" s="3" t="s">
        <x:v>18</x:v>
      </x:c>
      <x:c r="F9" s="3">
        <x:v>97495418</x:v>
      </x:c>
      <x:c r="G9" s="3" t="s">
        <x:v>13</x:v>
      </x:c>
      <x:c r="H9" s="3" t="s">
        <x:v>19</x:v>
      </x:c>
      <x:c r="I9" s="2" t="s">
        <x:v>15</x:v>
      </x:c>
    </x:row>
    <x:row r="10">
      <x:c r="A10" s="3" t="s">
        <x:v>9</x:v>
      </x:c>
      <x:c r="B10" s="3" t="s">
        <x:v>10</x:v>
      </x:c>
      <x:c r="C10" s="3">
        <x:v>2024</x:v>
      </x:c>
      <x:c r="D10" s="3" t="s">
        <x:v>11</x:v>
      </x:c>
      <x:c r="E10" s="3" t="s">
        <x:v>20</x:v>
      </x:c>
      <x:c r="F10" s="3">
        <x:v>99905561</x:v>
      </x:c>
      <x:c r="G10" s="3" t="s">
        <x:v>13</x:v>
      </x:c>
      <x:c r="H10" s="3" t="s">
        <x:v>14</x:v>
      </x:c>
      <x:c r="I10" s="3" t="s">
        <x:v>15</x:v>
      </x:c>
    </x:row>
    <x:row r="11">
      <x:c r="A11" s="3" t="s">
        <x:v>9</x:v>
      </x:c>
      <x:c r="B11" s="3" t="s">
        <x:v>10</x:v>
      </x:c>
      <x:c r="C11" s="3">
        <x:v>2025</x:v>
      </x:c>
      <x:c r="D11" s="3" t="s">
        <x:v>11</x:v>
      </x:c>
      <x:c r="E11" s="3" t="s">
        <x:v>20</x:v>
      </x:c>
      <x:c r="F11" s="3">
        <x:v>160136525</x:v>
      </x:c>
      <x:c r="G11" s="3" t="s">
        <x:v>13</x:v>
      </x:c>
      <x:c r="H11" s="3" t="s">
        <x:v>14</x:v>
      </x:c>
      <x:c r="I11" s="2" t="s">
        <x:v>15</x:v>
      </x:c>
    </x:row>
    <x:row r="12" s="5" customFormat="1">
      <x:c r="A12" s="4" t="s">
        <x:v>9</x:v>
      </x:c>
      <x:c r="B12" s="4" t="s">
        <x:v>21</x:v>
      </x:c>
      <x:c r="C12" s="4">
        <x:v>2024</x:v>
      </x:c>
      <x:c r="D12" s="4" t="s">
        <x:v>11</x:v>
      </x:c>
      <x:c r="E12" s="4" t="s">
        <x:v>12</x:v>
      </x:c>
      <x:c r="F12" s="4">
        <x:v>13257003</x:v>
      </x:c>
      <x:c r="G12" s="4" t="s">
        <x:v>13</x:v>
      </x:c>
      <x:c r="H12" s="4" t="s">
        <x:v>22</x:v>
      </x:c>
      <x:c r="I12" s="6" t="s">
        <x:v>23</x:v>
      </x:c>
    </x:row>
    <x:row r="13">
      <x:c r="A13" s="3" t="s">
        <x:v>9</x:v>
      </x:c>
      <x:c r="B13" s="3" t="s">
        <x:v>21</x:v>
      </x:c>
      <x:c r="C13" s="3">
        <x:v>2025</x:v>
      </x:c>
      <x:c r="D13" s="3" t="s">
        <x:v>11</x:v>
      </x:c>
      <x:c r="E13" s="3" t="s">
        <x:v>12</x:v>
      </x:c>
      <x:c r="F13" s="3">
        <x:v>34150617</x:v>
      </x:c>
      <x:c r="G13" s="3" t="s">
        <x:v>13</x:v>
      </x:c>
      <x:c r="H13" s="3" t="s">
        <x:v>22</x:v>
      </x:c>
      <x:c r="I13" s="6" t="s">
        <x:v>23</x:v>
      </x:c>
    </x:row>
    <x:row r="14">
      <x:c r="A14" s="3" t="s">
        <x:v>9</x:v>
      </x:c>
      <x:c r="B14" s="3" t="s">
        <x:v>21</x:v>
      </x:c>
      <x:c r="C14" s="3">
        <x:v>2024</x:v>
      </x:c>
      <x:c r="D14" s="3" t="s">
        <x:v>11</x:v>
      </x:c>
      <x:c r="E14" s="3" t="s">
        <x:v>16</x:v>
      </x:c>
      <x:c r="F14" s="3">
        <x:v>21900717</x:v>
      </x:c>
      <x:c r="G14" s="3" t="s">
        <x:v>13</x:v>
      </x:c>
      <x:c r="H14" s="3" t="s">
        <x:v>22</x:v>
      </x:c>
      <x:c r="I14" s="6" t="s">
        <x:v>23</x:v>
      </x:c>
    </x:row>
    <x:row r="15">
      <x:c r="A15" s="3" t="s">
        <x:v>9</x:v>
      </x:c>
      <x:c r="B15" s="3" t="s">
        <x:v>21</x:v>
      </x:c>
      <x:c r="C15" s="3">
        <x:v>2025</x:v>
      </x:c>
      <x:c r="D15" s="3" t="s">
        <x:v>11</x:v>
      </x:c>
      <x:c r="E15" s="3" t="s">
        <x:v>16</x:v>
      </x:c>
      <x:c r="F15" s="3">
        <x:v>36915146</x:v>
      </x:c>
      <x:c r="G15" s="3" t="s">
        <x:v>13</x:v>
      </x:c>
      <x:c r="H15" s="3" t="s">
        <x:v>22</x:v>
      </x:c>
      <x:c r="I15" s="6" t="s">
        <x:v>23</x:v>
      </x:c>
    </x:row>
    <x:row r="16">
      <x:c r="A16" s="3" t="s">
        <x:v>9</x:v>
      </x:c>
      <x:c r="B16" s="3" t="s">
        <x:v>21</x:v>
      </x:c>
      <x:c r="C16" s="3">
        <x:v>2024</x:v>
      </x:c>
      <x:c r="D16" s="3" t="s">
        <x:v>11</x:v>
      </x:c>
      <x:c r="E16" s="3" t="s">
        <x:v>17</x:v>
      </x:c>
      <x:c r="F16" s="3">
        <x:v>40244122</x:v>
      </x:c>
      <x:c r="G16" s="3" t="s">
        <x:v>13</x:v>
      </x:c>
      <x:c r="H16" s="3" t="s">
        <x:v>22</x:v>
      </x:c>
      <x:c r="I16" s="6" t="s">
        <x:v>23</x:v>
      </x:c>
    </x:row>
    <x:row r="17">
      <x:c r="A17" s="3" t="s">
        <x:v>9</x:v>
      </x:c>
      <x:c r="B17" s="3" t="s">
        <x:v>21</x:v>
      </x:c>
      <x:c r="C17" s="3">
        <x:v>2025</x:v>
      </x:c>
      <x:c r="D17" s="3" t="s">
        <x:v>11</x:v>
      </x:c>
      <x:c r="E17" s="3" t="s">
        <x:v>17</x:v>
      </x:c>
      <x:c r="F17" s="3">
        <x:v>80361338</x:v>
      </x:c>
      <x:c r="G17" s="3" t="s">
        <x:v>13</x:v>
      </x:c>
      <x:c r="H17" s="3" t="s">
        <x:v>22</x:v>
      </x:c>
      <x:c r="I17" s="6" t="s">
        <x:v>23</x:v>
      </x:c>
    </x:row>
    <x:row r="18">
      <x:c r="A18" s="3" t="s">
        <x:v>9</x:v>
      </x:c>
      <x:c r="B18" s="3" t="s">
        <x:v>21</x:v>
      </x:c>
      <x:c r="C18" s="3">
        <x:v>2024</x:v>
      </x:c>
      <x:c r="D18" s="3" t="s">
        <x:v>11</x:v>
      </x:c>
      <x:c r="E18" s="3" t="s">
        <x:v>18</x:v>
      </x:c>
      <x:c r="F18" s="3">
        <x:v>34675005</x:v>
      </x:c>
      <x:c r="G18" s="3" t="s">
        <x:v>13</x:v>
      </x:c>
      <x:c r="H18" s="3" t="s">
        <x:v>14</x:v>
      </x:c>
      <x:c r="I18" s="6" t="s">
        <x:v>23</x:v>
      </x:c>
    </x:row>
    <x:row r="19">
      <x:c r="A19" s="3" t="s">
        <x:v>9</x:v>
      </x:c>
      <x:c r="B19" s="3" t="s">
        <x:v>21</x:v>
      </x:c>
      <x:c r="C19" s="3">
        <x:v>2025</x:v>
      </x:c>
      <x:c r="D19" s="3" t="s">
        <x:v>11</x:v>
      </x:c>
      <x:c r="E19" s="3" t="s">
        <x:v>18</x:v>
      </x:c>
      <x:c r="F19" s="3">
        <x:v>59385070</x:v>
      </x:c>
      <x:c r="G19" s="3" t="s">
        <x:v>13</x:v>
      </x:c>
      <x:c r="H19" s="3" t="s">
        <x:v>14</x:v>
      </x:c>
      <x:c r="I19" s="6" t="s">
        <x:v>23</x:v>
      </x:c>
    </x:row>
    <x:row r="20">
      <x:c r="A20" s="3" t="s">
        <x:v>9</x:v>
      </x:c>
      <x:c r="B20" s="3" t="s">
        <x:v>21</x:v>
      </x:c>
      <x:c r="C20" s="3">
        <x:v>2024</x:v>
      </x:c>
      <x:c r="D20" s="3" t="s">
        <x:v>11</x:v>
      </x:c>
      <x:c r="E20" s="3" t="s">
        <x:v>20</x:v>
      </x:c>
      <x:c r="F20" s="3">
        <x:v>68223791</x:v>
      </x:c>
      <x:c r="G20" s="3" t="s">
        <x:v>13</x:v>
      </x:c>
      <x:c r="H20" s="3" t="s">
        <x:v>22</x:v>
      </x:c>
      <x:c r="I20" s="6" t="s">
        <x:v>23</x:v>
      </x:c>
    </x:row>
    <x:row r="21">
      <x:c r="A21" s="3" t="s">
        <x:v>9</x:v>
      </x:c>
      <x:c r="B21" s="3" t="s">
        <x:v>21</x:v>
      </x:c>
      <x:c r="C21" s="3">
        <x:v>2025</x:v>
      </x:c>
      <x:c r="D21" s="3" t="s">
        <x:v>11</x:v>
      </x:c>
      <x:c r="E21" s="3" t="s">
        <x:v>20</x:v>
      </x:c>
      <x:c r="F21" s="3">
        <x:v>112556283</x:v>
      </x:c>
      <x:c r="G21" s="3" t="s">
        <x:v>13</x:v>
      </x:c>
      <x:c r="H21" s="3" t="s">
        <x:v>22</x:v>
      </x:c>
      <x:c r="I21" s="6" t="s">
        <x:v>23</x:v>
      </x:c>
    </x:row>
    <x:row r="22" s="5" customFormat="1" ht="16.5" customHeight="1">
      <x:c r="A22" s="4" t="s">
        <x:v>24</x:v>
      </x:c>
      <x:c r="B22" s="4" t="s">
        <x:v>10</x:v>
      </x:c>
      <x:c r="C22" s="4">
        <x:v>2024</x:v>
      </x:c>
      <x:c r="D22" s="4" t="s">
        <x:v>11</x:v>
      </x:c>
      <x:c r="E22" s="4" t="s">
        <x:v>12</x:v>
      </x:c>
      <x:c r="F22" s="4">
        <x:v>2808811</x:v>
      </x:c>
      <x:c r="G22" s="4" t="s">
        <x:v>13</x:v>
      </x:c>
      <x:c r="H22" s="4" t="s">
        <x:v>25</x:v>
      </x:c>
      <x:c r="I22" s="6" t="s">
        <x:v>26</x:v>
      </x:c>
    </x:row>
    <x:row r="23">
      <x:c r="A23" s="3" t="s">
        <x:v>24</x:v>
      </x:c>
      <x:c r="B23" s="3" t="s">
        <x:v>10</x:v>
      </x:c>
      <x:c r="C23" s="3">
        <x:v>2025</x:v>
      </x:c>
      <x:c r="D23" s="3" t="s">
        <x:v>11</x:v>
      </x:c>
      <x:c r="E23" s="3" t="s">
        <x:v>12</x:v>
      </x:c>
      <x:c r="F23" s="3">
        <x:v>1438936</x:v>
      </x:c>
      <x:c r="G23" s="3" t="s">
        <x:v>13</x:v>
      </x:c>
      <x:c r="H23" s="3" t="s">
        <x:v>25</x:v>
      </x:c>
      <x:c r="I23" s="6" t="s">
        <x:v>26</x:v>
      </x:c>
    </x:row>
    <x:row r="24">
      <x:c r="A24" s="3" t="s">
        <x:v>24</x:v>
      </x:c>
      <x:c r="B24" s="3" t="s">
        <x:v>10</x:v>
      </x:c>
      <x:c r="C24" s="3">
        <x:v>2024</x:v>
      </x:c>
      <x:c r="D24" s="3" t="s">
        <x:v>11</x:v>
      </x:c>
      <x:c r="E24" s="3" t="s">
        <x:v>16</x:v>
      </x:c>
      <x:c r="F24" s="3">
        <x:v>2809505</x:v>
      </x:c>
      <x:c r="G24" s="3" t="s">
        <x:v>13</x:v>
      </x:c>
      <x:c r="H24" s="3" t="s">
        <x:v>25</x:v>
      </x:c>
      <x:c r="I24" s="6" t="s">
        <x:v>26</x:v>
      </x:c>
    </x:row>
    <x:row r="25">
      <x:c r="A25" s="3" t="s">
        <x:v>24</x:v>
      </x:c>
      <x:c r="B25" s="3" t="s">
        <x:v>10</x:v>
      </x:c>
      <x:c r="C25" s="3">
        <x:v>2025</x:v>
      </x:c>
      <x:c r="D25" s="3" t="s">
        <x:v>11</x:v>
      </x:c>
      <x:c r="E25" s="3" t="s">
        <x:v>16</x:v>
      </x:c>
      <x:c r="F25" s="3">
        <x:v>6057435</x:v>
      </x:c>
      <x:c r="G25" s="3" t="s">
        <x:v>13</x:v>
      </x:c>
      <x:c r="H25" s="3" t="s">
        <x:v>25</x:v>
      </x:c>
      <x:c r="I25" s="6" t="s">
        <x:v>26</x:v>
      </x:c>
    </x:row>
    <x:row r="26">
      <x:c r="A26" s="3" t="s">
        <x:v>24</x:v>
      </x:c>
      <x:c r="B26" s="3" t="s">
        <x:v>10</x:v>
      </x:c>
      <x:c r="C26" s="3">
        <x:v>2024</x:v>
      </x:c>
      <x:c r="D26" s="3" t="s">
        <x:v>11</x:v>
      </x:c>
      <x:c r="E26" s="3" t="s">
        <x:v>17</x:v>
      </x:c>
      <x:c r="F26" s="3">
        <x:v>11679883</x:v>
      </x:c>
      <x:c r="G26" s="3" t="s">
        <x:v>13</x:v>
      </x:c>
      <x:c r="H26" s="3" t="s">
        <x:v>25</x:v>
      </x:c>
      <x:c r="I26" s="6" t="s">
        <x:v>26</x:v>
      </x:c>
    </x:row>
    <x:row r="27">
      <x:c r="A27" s="3" t="s">
        <x:v>24</x:v>
      </x:c>
      <x:c r="B27" s="3" t="s">
        <x:v>10</x:v>
      </x:c>
      <x:c r="C27" s="3">
        <x:v>2025</x:v>
      </x:c>
      <x:c r="D27" s="3" t="s">
        <x:v>11</x:v>
      </x:c>
      <x:c r="E27" s="3" t="s">
        <x:v>17</x:v>
      </x:c>
      <x:c r="F27" s="3">
        <x:v>18587376</x:v>
      </x:c>
      <x:c r="G27" s="3" t="s">
        <x:v>13</x:v>
      </x:c>
      <x:c r="H27" s="3" t="s">
        <x:v>25</x:v>
      </x:c>
      <x:c r="I27" s="6" t="s">
        <x:v>26</x:v>
      </x:c>
    </x:row>
    <x:row r="28">
      <x:c r="A28" s="3" t="s">
        <x:v>24</x:v>
      </x:c>
      <x:c r="B28" s="3" t="s">
        <x:v>10</x:v>
      </x:c>
      <x:c r="C28" s="3">
        <x:v>2024</x:v>
      </x:c>
      <x:c r="D28" s="3" t="s">
        <x:v>11</x:v>
      </x:c>
      <x:c r="E28" s="3" t="s">
        <x:v>18</x:v>
      </x:c>
      <x:c r="F28" s="3">
        <x:v>5901656</x:v>
      </x:c>
      <x:c r="G28" s="3" t="s">
        <x:v>13</x:v>
      </x:c>
      <x:c r="H28" s="3" t="s">
        <x:v>27</x:v>
      </x:c>
      <x:c r="I28" s="6" t="s">
        <x:v>26</x:v>
      </x:c>
    </x:row>
    <x:row r="29">
      <x:c r="A29" s="3" t="s">
        <x:v>24</x:v>
      </x:c>
      <x:c r="B29" s="3" t="s">
        <x:v>10</x:v>
      </x:c>
      <x:c r="C29" s="3">
        <x:v>2025</x:v>
      </x:c>
      <x:c r="D29" s="3" t="s">
        <x:v>11</x:v>
      </x:c>
      <x:c r="E29" s="3" t="s">
        <x:v>18</x:v>
      </x:c>
      <x:c r="F29" s="3">
        <x:v>12522996</x:v>
      </x:c>
      <x:c r="G29" s="3" t="s">
        <x:v>13</x:v>
      </x:c>
      <x:c r="H29" s="3" t="s">
        <x:v>27</x:v>
      </x:c>
      <x:c r="I29" s="6" t="s">
        <x:v>26</x:v>
      </x:c>
    </x:row>
    <x:row r="30">
      <x:c r="A30" s="3" t="s">
        <x:v>24</x:v>
      </x:c>
      <x:c r="B30" s="3" t="s">
        <x:v>10</x:v>
      </x:c>
      <x:c r="C30" s="3">
        <x:v>2024</x:v>
      </x:c>
      <x:c r="D30" s="3" t="s">
        <x:v>11</x:v>
      </x:c>
      <x:c r="E30" s="3" t="s">
        <x:v>20</x:v>
      </x:c>
      <x:c r="F30" s="3">
        <x:v>16926376</x:v>
      </x:c>
      <x:c r="G30" s="3" t="s">
        <x:v>13</x:v>
      </x:c>
      <x:c r="H30" s="3" t="s">
        <x:v>25</x:v>
      </x:c>
      <x:c r="I30" s="6" t="s">
        <x:v>26</x:v>
      </x:c>
    </x:row>
    <x:row r="31">
      <x:c r="A31" s="3" t="s">
        <x:v>24</x:v>
      </x:c>
      <x:c r="B31" s="3" t="s">
        <x:v>10</x:v>
      </x:c>
      <x:c r="C31" s="3">
        <x:v>2025</x:v>
      </x:c>
      <x:c r="D31" s="3" t="s">
        <x:v>11</x:v>
      </x:c>
      <x:c r="E31" s="3" t="s">
        <x:v>20</x:v>
      </x:c>
      <x:c r="F31" s="3">
        <x:v>26124609</x:v>
      </x:c>
      <x:c r="G31" s="3" t="s">
        <x:v>13</x:v>
      </x:c>
      <x:c r="H31" s="3" t="s">
        <x:v>25</x:v>
      </x:c>
      <x:c r="I31" s="6" t="s">
        <x:v>26</x:v>
      </x:c>
    </x:row>
    <x:row r="32">
      <x:c r="A32" s="7" t="s">
        <x:v>9</x:v>
      </x:c>
      <x:c r="B32" s="7" t="s">
        <x:v>10</x:v>
      </x:c>
      <x:c r="C32" s="7">
        <x:v>2024</x:v>
      </x:c>
      <x:c r="D32" s="7" t="s">
        <x:v>11</x:v>
      </x:c>
      <x:c r="E32" s="7" t="s">
        <x:v>28</x:v>
      </x:c>
      <x:c r="F32" s="7">
        <x:v>751509</x:v>
      </x:c>
      <x:c r="G32" s="7" t="s">
        <x:v>13</x:v>
      </x:c>
      <x:c r="H32" s="7" t="s">
        <x:v>14</x:v>
      </x:c>
      <x:c r="I32" s="7" t="s">
        <x:v>15</x:v>
      </x:c>
    </x:row>
    <x:row r="33">
      <x:c r="A33" s="7" t="s">
        <x:v>9</x:v>
      </x:c>
      <x:c r="B33" s="7" t="s">
        <x:v>10</x:v>
      </x:c>
      <x:c r="C33" s="7">
        <x:v>2025</x:v>
      </x:c>
      <x:c r="D33" s="7" t="s">
        <x:v>11</x:v>
      </x:c>
      <x:c r="E33" s="7" t="s">
        <x:v>28</x:v>
      </x:c>
      <x:c r="F33" s="7">
        <x:v>690460</x:v>
      </x:c>
      <x:c r="G33" s="7" t="s">
        <x:v>13</x:v>
      </x:c>
      <x:c r="H33" s="7" t="s">
        <x:v>14</x:v>
      </x:c>
      <x:c r="I33" s="7" t="s">
        <x:v>15</x:v>
      </x:c>
    </x:row>
    <x:row r="34">
      <x:c r="A34" s="7" t="s">
        <x:v>9</x:v>
      </x:c>
      <x:c r="B34" s="7" t="s">
        <x:v>10</x:v>
      </x:c>
      <x:c r="C34" s="7">
        <x:v>2024</x:v>
      </x:c>
      <x:c r="D34" s="7" t="s">
        <x:v>11</x:v>
      </x:c>
      <x:c r="E34" s="7" t="s">
        <x:v>29</x:v>
      </x:c>
      <x:c r="F34" s="7">
        <x:v>1637875</x:v>
      </x:c>
      <x:c r="G34" s="7" t="s">
        <x:v>13</x:v>
      </x:c>
      <x:c r="H34" s="7" t="s">
        <x:v>14</x:v>
      </x:c>
      <x:c r="I34" s="7" t="s">
        <x:v>15</x:v>
      </x:c>
    </x:row>
    <x:row r="35">
      <x:c r="A35" s="7" t="s">
        <x:v>9</x:v>
      </x:c>
      <x:c r="B35" s="7" t="s">
        <x:v>10</x:v>
      </x:c>
      <x:c r="C35" s="7">
        <x:v>2025</x:v>
      </x:c>
      <x:c r="D35" s="7" t="s">
        <x:v>11</x:v>
      </x:c>
      <x:c r="E35" s="7" t="s">
        <x:v>29</x:v>
      </x:c>
      <x:c r="F35" s="7">
        <x:v>2259558</x:v>
      </x:c>
      <x:c r="G35" s="7" t="s">
        <x:v>13</x:v>
      </x:c>
      <x:c r="H35" s="7" t="s">
        <x:v>14</x:v>
      </x:c>
      <x:c r="I35" s="7" t="s">
        <x:v>15</x:v>
      </x:c>
    </x:row>
    <x:row r="36">
      <x:c r="A36" s="7" t="s">
        <x:v>9</x:v>
      </x:c>
      <x:c r="B36" s="7" t="s">
        <x:v>21</x:v>
      </x:c>
      <x:c r="C36" s="7">
        <x:v>2024</x:v>
      </x:c>
      <x:c r="D36" s="7" t="s">
        <x:v>11</x:v>
      </x:c>
      <x:c r="E36" s="7" t="s">
        <x:v>28</x:v>
      </x:c>
      <x:c r="F36" s="7">
        <x:v>28261</x:v>
      </x:c>
      <x:c r="G36" s="7" t="s">
        <x:v>13</x:v>
      </x:c>
      <x:c r="H36" s="7" t="s">
        <x:v>22</x:v>
      </x:c>
      <x:c r="I36" s="7" t="s">
        <x:v>23</x:v>
      </x:c>
    </x:row>
    <x:row r="37">
      <x:c r="A37" s="7" t="s">
        <x:v>9</x:v>
      </x:c>
      <x:c r="B37" s="7" t="s">
        <x:v>21</x:v>
      </x:c>
      <x:c r="C37" s="7">
        <x:v>2025</x:v>
      </x:c>
      <x:c r="D37" s="7" t="s">
        <x:v>11</x:v>
      </x:c>
      <x:c r="E37" s="7" t="s">
        <x:v>28</x:v>
      </x:c>
      <x:c r="F37" s="7">
        <x:v>61180</x:v>
      </x:c>
      <x:c r="G37" s="7" t="s">
        <x:v>13</x:v>
      </x:c>
      <x:c r="H37" s="7" t="s">
        <x:v>22</x:v>
      </x:c>
      <x:c r="I37" s="7" t="s">
        <x:v>23</x:v>
      </x:c>
    </x:row>
    <x:row r="38">
      <x:c r="A38" s="7" t="s">
        <x:v>9</x:v>
      </x:c>
      <x:c r="B38" s="7" t="s">
        <x:v>21</x:v>
      </x:c>
      <x:c r="C38" s="7">
        <x:v>2024</x:v>
      </x:c>
      <x:c r="D38" s="7" t="s">
        <x:v>11</x:v>
      </x:c>
      <x:c r="E38" s="7" t="s">
        <x:v>29</x:v>
      </x:c>
      <x:c r="F38" s="7">
        <x:v>6884</x:v>
      </x:c>
      <x:c r="G38" s="7" t="s">
        <x:v>13</x:v>
      </x:c>
      <x:c r="H38" s="7" t="s">
        <x:v>22</x:v>
      </x:c>
      <x:c r="I38" s="7" t="s">
        <x:v>23</x:v>
      </x:c>
    </x:row>
    <x:row r="39">
      <x:c r="A39" s="7" t="s">
        <x:v>9</x:v>
      </x:c>
      <x:c r="B39" s="7" t="s">
        <x:v>21</x:v>
      </x:c>
      <x:c r="C39" s="7">
        <x:v>2025</x:v>
      </x:c>
      <x:c r="D39" s="7" t="s">
        <x:v>11</x:v>
      </x:c>
      <x:c r="E39" s="7" t="s">
        <x:v>29</x:v>
      </x:c>
      <x:c r="F39" s="7">
        <x:v>16422</x:v>
      </x:c>
      <x:c r="G39" s="7" t="s">
        <x:v>13</x:v>
      </x:c>
      <x:c r="H39" s="7" t="s">
        <x:v>22</x:v>
      </x:c>
      <x:c r="I39" s="7" t="s">
        <x:v>23</x:v>
      </x:c>
    </x:row>
    <x:row r="40">
      <x:c r="A40" s="7" t="s">
        <x:v>24</x:v>
      </x:c>
      <x:c r="B40" s="7" t="s">
        <x:v>10</x:v>
      </x:c>
      <x:c r="C40" s="7">
        <x:v>2024</x:v>
      </x:c>
      <x:c r="D40" s="7" t="s">
        <x:v>11</x:v>
      </x:c>
      <x:c r="E40" s="7" t="s">
        <x:v>29</x:v>
      </x:c>
      <x:c r="F40" s="7">
        <x:v>475050</x:v>
      </x:c>
      <x:c r="G40" s="7" t="s">
        <x:v>13</x:v>
      </x:c>
      <x:c r="H40" s="7" t="s">
        <x:v>25</x:v>
      </x:c>
      <x:c r="I40" s="7" t="s">
        <x:v>26</x:v>
      </x:c>
    </x:row>
    <x:row r="41">
      <x:c r="A41" s="7" t="s">
        <x:v>24</x:v>
      </x:c>
      <x:c r="B41" s="7" t="s">
        <x:v>10</x:v>
      </x:c>
      <x:c r="C41" s="7">
        <x:v>2025</x:v>
      </x:c>
      <x:c r="D41" s="7" t="s">
        <x:v>11</x:v>
      </x:c>
      <x:c r="E41" s="7" t="s">
        <x:v>29</x:v>
      </x:c>
      <x:c r="F41" s="7">
        <x:v>842124</x:v>
      </x:c>
      <x:c r="G41" s="7" t="s">
        <x:v>13</x:v>
      </x:c>
      <x:c r="H41" s="7" t="s">
        <x:v>25</x:v>
      </x:c>
      <x:c r="I41" s="7" t="s">
        <x:v>26</x:v>
      </x:c>
    </x:row>
    <x:row r="42">
      <x:c r="A42" s="2" t="s">
        <x:v>9</x:v>
      </x:c>
      <x:c r="B42" s="2" t="s">
        <x:v>10</x:v>
      </x:c>
      <x:c r="C42" s="2">
        <x:v>2024</x:v>
      </x:c>
      <x:c r="D42" s="2" t="s">
        <x:v>30</x:v>
      </x:c>
      <x:c r="E42" s="2" t="s">
        <x:v>31</x:v>
      </x:c>
      <x:c r="F42" s="2">
        <x:v>71761296</x:v>
      </x:c>
      <x:c r="G42" s="2" t="s">
        <x:v>13</x:v>
      </x:c>
      <x:c r="H42" s="2" t="s">
        <x:v>32</x:v>
      </x:c>
      <x:c r="I42" s="2" t="s">
        <x:v>15</x:v>
      </x:c>
    </x:row>
    <x:row r="43">
      <x:c r="A43" s="2" t="s">
        <x:v>9</x:v>
      </x:c>
      <x:c r="B43" s="2" t="s">
        <x:v>10</x:v>
      </x:c>
      <x:c r="C43" s="2">
        <x:v>2025</x:v>
      </x:c>
      <x:c r="D43" s="2" t="s">
        <x:v>30</x:v>
      </x:c>
      <x:c r="E43" s="2" t="s">
        <x:v>31</x:v>
      </x:c>
      <x:c r="F43" s="2">
        <x:v>139639362</x:v>
      </x:c>
      <x:c r="G43" s="2" t="s">
        <x:v>13</x:v>
      </x:c>
      <x:c r="H43" s="2" t="s">
        <x:v>32</x:v>
      </x:c>
      <x:c r="I43" s="2" t="s">
        <x:v>15</x:v>
      </x:c>
    </x:row>
    <x:row r="44">
      <x:c r="A44" s="2" t="s">
        <x:v>9</x:v>
      </x:c>
      <x:c r="B44" s="2" t="s">
        <x:v>10</x:v>
      </x:c>
      <x:c r="C44" s="2">
        <x:v>2024</x:v>
      </x:c>
      <x:c r="D44" s="2" t="s">
        <x:v>30</x:v>
      </x:c>
      <x:c r="E44" s="2" t="s">
        <x:v>33</x:v>
      </x:c>
      <x:c r="F44" s="2">
        <x:v>16870441</x:v>
      </x:c>
      <x:c r="G44" s="2" t="s">
        <x:v>13</x:v>
      </x:c>
      <x:c r="H44" s="2" t="s">
        <x:v>32</x:v>
      </x:c>
      <x:c r="I44" s="2" t="s">
        <x:v>15</x:v>
      </x:c>
    </x:row>
    <x:row r="45">
      <x:c r="A45" s="2" t="s">
        <x:v>9</x:v>
      </x:c>
      <x:c r="B45" s="2" t="s">
        <x:v>10</x:v>
      </x:c>
      <x:c r="C45" s="2">
        <x:v>2025</x:v>
      </x:c>
      <x:c r="D45" s="2" t="s">
        <x:v>30</x:v>
      </x:c>
      <x:c r="E45" s="2" t="s">
        <x:v>33</x:v>
      </x:c>
      <x:c r="F45" s="2">
        <x:v>36034003</x:v>
      </x:c>
      <x:c r="G45" s="2" t="s">
        <x:v>13</x:v>
      </x:c>
      <x:c r="H45" s="2" t="s">
        <x:v>32</x:v>
      </x:c>
      <x:c r="I45" s="2" t="s">
        <x:v>15</x:v>
      </x:c>
    </x:row>
    <x:row r="46">
      <x:c r="A46" s="2" t="s">
        <x:v>9</x:v>
      </x:c>
      <x:c r="B46" s="2" t="s">
        <x:v>10</x:v>
      </x:c>
      <x:c r="C46" s="2">
        <x:v>2024</x:v>
      </x:c>
      <x:c r="D46" s="2" t="s">
        <x:v>30</x:v>
      </x:c>
      <x:c r="E46" s="2" t="s">
        <x:v>34</x:v>
      </x:c>
      <x:c r="F46" s="2">
        <x:v>10822659</x:v>
      </x:c>
      <x:c r="G46" s="2" t="s">
        <x:v>13</x:v>
      </x:c>
      <x:c r="H46" s="2" t="s">
        <x:v>32</x:v>
      </x:c>
      <x:c r="I46" s="2" t="s">
        <x:v>15</x:v>
      </x:c>
    </x:row>
    <x:row r="47">
      <x:c r="A47" s="2" t="s">
        <x:v>9</x:v>
      </x:c>
      <x:c r="B47" s="2" t="s">
        <x:v>10</x:v>
      </x:c>
      <x:c r="C47" s="2">
        <x:v>2025</x:v>
      </x:c>
      <x:c r="D47" s="2" t="s">
        <x:v>30</x:v>
      </x:c>
      <x:c r="E47" s="2" t="s">
        <x:v>34</x:v>
      </x:c>
      <x:c r="F47" s="2">
        <x:v>27555663</x:v>
      </x:c>
      <x:c r="G47" s="2" t="s">
        <x:v>13</x:v>
      </x:c>
      <x:c r="H47" s="2" t="s">
        <x:v>32</x:v>
      </x:c>
      <x:c r="I47" s="2" t="s">
        <x:v>15</x:v>
      </x:c>
    </x:row>
    <x:row r="48">
      <x:c r="A48" s="2" t="s">
        <x:v>9</x:v>
      </x:c>
      <x:c r="B48" s="2" t="s">
        <x:v>10</x:v>
      </x:c>
      <x:c r="C48" s="2">
        <x:v>2024</x:v>
      </x:c>
      <x:c r="D48" s="2" t="s">
        <x:v>30</x:v>
      </x:c>
      <x:c r="E48" s="2" t="s">
        <x:v>35</x:v>
      </x:c>
      <x:c r="F48" s="2">
        <x:v>8172379</x:v>
      </x:c>
      <x:c r="G48" s="2" t="s">
        <x:v>13</x:v>
      </x:c>
      <x:c r="H48" s="2" t="s">
        <x:v>32</x:v>
      </x:c>
      <x:c r="I48" s="2" t="s">
        <x:v>15</x:v>
      </x:c>
    </x:row>
    <x:row r="49">
      <x:c r="A49" s="2" t="s">
        <x:v>9</x:v>
      </x:c>
      <x:c r="B49" s="2" t="s">
        <x:v>10</x:v>
      </x:c>
      <x:c r="C49" s="2">
        <x:v>2025</x:v>
      </x:c>
      <x:c r="D49" s="2" t="s">
        <x:v>30</x:v>
      </x:c>
      <x:c r="E49" s="2" t="s">
        <x:v>35</x:v>
      </x:c>
      <x:c r="F49" s="2">
        <x:v>19186495</x:v>
      </x:c>
      <x:c r="G49" s="2" t="s">
        <x:v>13</x:v>
      </x:c>
      <x:c r="H49" s="2" t="s">
        <x:v>32</x:v>
      </x:c>
      <x:c r="I49" s="2" t="s">
        <x:v>15</x:v>
      </x:c>
    </x:row>
    <x:row r="50">
      <x:c r="A50" s="2" t="s">
        <x:v>9</x:v>
      </x:c>
      <x:c r="B50" s="2" t="s">
        <x:v>10</x:v>
      </x:c>
      <x:c r="C50" s="2">
        <x:v>2024</x:v>
      </x:c>
      <x:c r="D50" s="2" t="s">
        <x:v>30</x:v>
      </x:c>
      <x:c r="E50" s="2" t="s">
        <x:v>36</x:v>
      </x:c>
      <x:c r="F50" s="2">
        <x:v>21.21</x:v>
      </x:c>
      <x:c r="G50" s="2" t="s">
        <x:v>37</x:v>
      </x:c>
      <x:c r="H50" s="2" t="s">
        <x:v>32</x:v>
      </x:c>
      <x:c r="I50" s="2" t="s">
        <x:v>15</x:v>
      </x:c>
    </x:row>
    <x:row r="51">
      <x:c r="A51" s="2" t="s">
        <x:v>9</x:v>
      </x:c>
      <x:c r="B51" s="2" t="s">
        <x:v>10</x:v>
      </x:c>
      <x:c r="C51" s="2">
        <x:v>2025</x:v>
      </x:c>
      <x:c r="D51" s="2" t="s">
        <x:v>30</x:v>
      </x:c>
      <x:c r="E51" s="2" t="s">
        <x:v>36</x:v>
      </x:c>
      <x:c r="F51" s="2">
        <x:v>49.17</x:v>
      </x:c>
      <x:c r="G51" s="2" t="s">
        <x:v>37</x:v>
      </x:c>
      <x:c r="H51" s="2" t="s">
        <x:v>32</x:v>
      </x:c>
      <x:c r="I51" s="2" t="s">
        <x:v>15</x:v>
      </x:c>
    </x:row>
    <x:row r="52">
      <x:c r="A52" s="2" t="s">
        <x:v>9</x:v>
      </x:c>
      <x:c r="B52" s="2" t="s">
        <x:v>21</x:v>
      </x:c>
      <x:c r="C52" s="2">
        <x:v>2024</x:v>
      </x:c>
      <x:c r="D52" s="2" t="s">
        <x:v>30</x:v>
      </x:c>
      <x:c r="E52" s="2" t="s">
        <x:v>31</x:v>
      </x:c>
      <x:c r="F52" s="2">
        <x:v>51706461</x:v>
      </x:c>
      <x:c r="G52" s="2" t="s">
        <x:v>13</x:v>
      </x:c>
      <x:c r="H52" s="2" t="s">
        <x:v>19</x:v>
      </x:c>
      <x:c r="I52" s="2" t="s">
        <x:v>23</x:v>
      </x:c>
    </x:row>
    <x:row r="53">
      <x:c r="A53" s="2" t="s">
        <x:v>9</x:v>
      </x:c>
      <x:c r="B53" s="2" t="s">
        <x:v>21</x:v>
      </x:c>
      <x:c r="C53" s="2">
        <x:v>2025</x:v>
      </x:c>
      <x:c r="D53" s="2" t="s">
        <x:v>30</x:v>
      </x:c>
      <x:c r="E53" s="2" t="s">
        <x:v>31</x:v>
      </x:c>
      <x:c r="F53" s="2">
        <x:v>116648199</x:v>
      </x:c>
      <x:c r="G53" s="2" t="s">
        <x:v>13</x:v>
      </x:c>
      <x:c r="H53" s="2" t="s">
        <x:v>19</x:v>
      </x:c>
      <x:c r="I53" s="2" t="s">
        <x:v>23</x:v>
      </x:c>
    </x:row>
    <x:row r="54">
      <x:c r="A54" s="2" t="s">
        <x:v>9</x:v>
      </x:c>
      <x:c r="B54" s="2" t="s">
        <x:v>21</x:v>
      </x:c>
      <x:c r="C54" s="2">
        <x:v>2024</x:v>
      </x:c>
      <x:c r="D54" s="2" t="s">
        <x:v>30</x:v>
      </x:c>
      <x:c r="E54" s="2" t="s">
        <x:v>33</x:v>
      </x:c>
      <x:c r="F54" s="2">
        <x:v>7858466</x:v>
      </x:c>
      <x:c r="G54" s="2" t="s">
        <x:v>13</x:v>
      </x:c>
      <x:c r="H54" s="2" t="s">
        <x:v>19</x:v>
      </x:c>
      <x:c r="I54" s="2" t="s">
        <x:v>23</x:v>
      </x:c>
    </x:row>
    <x:row r="55">
      <x:c r="A55" s="2" t="s">
        <x:v>9</x:v>
      </x:c>
      <x:c r="B55" s="2" t="s">
        <x:v>21</x:v>
      </x:c>
      <x:c r="C55" s="2">
        <x:v>2025</x:v>
      </x:c>
      <x:c r="D55" s="2" t="s">
        <x:v>30</x:v>
      </x:c>
      <x:c r="E55" s="2" t="s">
        <x:v>33</x:v>
      </x:c>
      <x:c r="F55" s="2">
        <x:v>23864959</x:v>
      </x:c>
      <x:c r="G55" s="2" t="s">
        <x:v>13</x:v>
      </x:c>
      <x:c r="H55" s="2" t="s">
        <x:v>19</x:v>
      </x:c>
      <x:c r="I55" s="2" t="s">
        <x:v>23</x:v>
      </x:c>
    </x:row>
    <x:row r="56">
      <x:c r="A56" s="2" t="s">
        <x:v>9</x:v>
      </x:c>
      <x:c r="B56" s="2" t="s">
        <x:v>21</x:v>
      </x:c>
      <x:c r="C56" s="2">
        <x:v>2024</x:v>
      </x:c>
      <x:c r="D56" s="2" t="s">
        <x:v>30</x:v>
      </x:c>
      <x:c r="E56" s="2" t="s">
        <x:v>34</x:v>
      </x:c>
      <x:c r="F56" s="2">
        <x:v>5450576</x:v>
      </x:c>
      <x:c r="G56" s="2" t="s">
        <x:v>13</x:v>
      </x:c>
      <x:c r="H56" s="2" t="s">
        <x:v>19</x:v>
      </x:c>
      <x:c r="I56" s="2" t="s">
        <x:v>23</x:v>
      </x:c>
    </x:row>
    <x:row r="57">
      <x:c r="A57" s="2" t="s">
        <x:v>9</x:v>
      </x:c>
      <x:c r="B57" s="2" t="s">
        <x:v>21</x:v>
      </x:c>
      <x:c r="C57" s="2">
        <x:v>2025</x:v>
      </x:c>
      <x:c r="D57" s="2" t="s">
        <x:v>30</x:v>
      </x:c>
      <x:c r="E57" s="2" t="s">
        <x:v>34</x:v>
      </x:c>
      <x:c r="F57" s="2">
        <x:v>19760774</x:v>
      </x:c>
      <x:c r="G57" s="2" t="s">
        <x:v>13</x:v>
      </x:c>
      <x:c r="H57" s="2" t="s">
        <x:v>19</x:v>
      </x:c>
      <x:c r="I57" s="2" t="s">
        <x:v>23</x:v>
      </x:c>
    </x:row>
    <x:row r="58">
      <x:c r="A58" s="2" t="s">
        <x:v>9</x:v>
      </x:c>
      <x:c r="B58" s="2" t="s">
        <x:v>21</x:v>
      </x:c>
      <x:c r="C58" s="2">
        <x:v>2024</x:v>
      </x:c>
      <x:c r="D58" s="2" t="s">
        <x:v>30</x:v>
      </x:c>
      <x:c r="E58" s="2" t="s">
        <x:v>35</x:v>
      </x:c>
      <x:c r="F58" s="2">
        <x:v>8172379</x:v>
      </x:c>
      <x:c r="G58" s="2" t="s">
        <x:v>13</x:v>
      </x:c>
      <x:c r="H58" s="2" t="s">
        <x:v>19</x:v>
      </x:c>
      <x:c r="I58" s="2" t="s">
        <x:v>23</x:v>
      </x:c>
    </x:row>
    <x:row r="59">
      <x:c r="A59" s="2" t="s">
        <x:v>9</x:v>
      </x:c>
      <x:c r="B59" s="2" t="s">
        <x:v>21</x:v>
      </x:c>
      <x:c r="C59" s="2">
        <x:v>2025</x:v>
      </x:c>
      <x:c r="D59" s="2" t="s">
        <x:v>30</x:v>
      </x:c>
      <x:c r="E59" s="2" t="s">
        <x:v>35</x:v>
      </x:c>
      <x:c r="F59" s="2">
        <x:v>19186495</x:v>
      </x:c>
      <x:c r="G59" s="2" t="s">
        <x:v>13</x:v>
      </x:c>
      <x:c r="H59" s="2" t="s">
        <x:v>19</x:v>
      </x:c>
      <x:c r="I59" s="2" t="s">
        <x:v>23</x:v>
      </x:c>
    </x:row>
    <x:row r="60">
      <x:c r="A60" s="2" t="s">
        <x:v>9</x:v>
      </x:c>
      <x:c r="B60" s="2" t="s">
        <x:v>21</x:v>
      </x:c>
      <x:c r="C60" s="2">
        <x:v>2024</x:v>
      </x:c>
      <x:c r="D60" s="2" t="s">
        <x:v>30</x:v>
      </x:c>
      <x:c r="E60" s="2" t="s">
        <x:v>36</x:v>
      </x:c>
      <x:c r="F60" s="2">
        <x:v>21.21</x:v>
      </x:c>
      <x:c r="G60" s="2" t="s">
        <x:v>37</x:v>
      </x:c>
      <x:c r="H60" s="2" t="s">
        <x:v>19</x:v>
      </x:c>
      <x:c r="I60" s="2" t="s">
        <x:v>23</x:v>
      </x:c>
    </x:row>
    <x:row r="61">
      <x:c r="A61" s="2" t="s">
        <x:v>9</x:v>
      </x:c>
      <x:c r="B61" s="2" t="s">
        <x:v>21</x:v>
      </x:c>
      <x:c r="C61" s="2">
        <x:v>2025</x:v>
      </x:c>
      <x:c r="D61" s="2" t="s">
        <x:v>30</x:v>
      </x:c>
      <x:c r="E61" s="2" t="s">
        <x:v>36</x:v>
      </x:c>
      <x:c r="F61" s="2">
        <x:v>49.17</x:v>
      </x:c>
      <x:c r="G61" s="2" t="s">
        <x:v>37</x:v>
      </x:c>
      <x:c r="H61" s="2" t="s">
        <x:v>19</x:v>
      </x:c>
      <x:c r="I61" s="2" t="s">
        <x:v>23</x:v>
      </x:c>
    </x:row>
    <x:row r="62">
      <x:c r="A62" s="2" t="s">
        <x:v>24</x:v>
      </x:c>
      <x:c r="B62" s="2" t="s">
        <x:v>10</x:v>
      </x:c>
      <x:c r="C62" s="2">
        <x:v>2024</x:v>
      </x:c>
      <x:c r="D62" s="2" t="s">
        <x:v>30</x:v>
      </x:c>
      <x:c r="E62" s="2" t="s">
        <x:v>31</x:v>
      </x:c>
      <x:c r="F62" s="2">
        <x:v>15778909</x:v>
      </x:c>
      <x:c r="G62" s="2" t="s">
        <x:v>13</x:v>
      </x:c>
      <x:c r="H62" s="2" t="s">
        <x:v>38</x:v>
      </x:c>
      <x:c r="I62" s="2" t="s">
        <x:v>26</x:v>
      </x:c>
    </x:row>
    <x:row r="63">
      <x:c r="A63" s="2" t="s">
        <x:v>24</x:v>
      </x:c>
      <x:c r="B63" s="2" t="s">
        <x:v>10</x:v>
      </x:c>
      <x:c r="C63" s="2">
        <x:v>2025</x:v>
      </x:c>
      <x:c r="D63" s="2" t="s">
        <x:v>30</x:v>
      </x:c>
      <x:c r="E63" s="2" t="s">
        <x:v>31</x:v>
      </x:c>
      <x:c r="F63" s="2">
        <x:v>23276344</x:v>
      </x:c>
      <x:c r="G63" s="2" t="s">
        <x:v>13</x:v>
      </x:c>
      <x:c r="H63" s="2" t="s">
        <x:v>38</x:v>
      </x:c>
      <x:c r="I63" s="2" t="s">
        <x:v>26</x:v>
      </x:c>
    </x:row>
    <x:row r="64">
      <x:c r="A64" s="2" t="s">
        <x:v>24</x:v>
      </x:c>
      <x:c r="B64" s="2" t="s">
        <x:v>10</x:v>
      </x:c>
      <x:c r="C64" s="2">
        <x:v>2024</x:v>
      </x:c>
      <x:c r="D64" s="2" t="s">
        <x:v>30</x:v>
      </x:c>
      <x:c r="E64" s="2" t="s">
        <x:v>33</x:v>
      </x:c>
      <x:c r="F64" s="2">
        <x:v>4026096</x:v>
      </x:c>
      <x:c r="G64" s="2" t="s">
        <x:v>13</x:v>
      </x:c>
      <x:c r="H64" s="2" t="s">
        <x:v>38</x:v>
      </x:c>
      <x:c r="I64" s="2" t="s">
        <x:v>26</x:v>
      </x:c>
    </x:row>
    <x:row r="65">
      <x:c r="A65" s="2" t="s">
        <x:v>24</x:v>
      </x:c>
      <x:c r="B65" s="2" t="s">
        <x:v>10</x:v>
      </x:c>
      <x:c r="C65" s="2">
        <x:v>2025</x:v>
      </x:c>
      <x:c r="D65" s="2" t="s">
        <x:v>30</x:v>
      </x:c>
      <x:c r="E65" s="2" t="s">
        <x:v>33</x:v>
      </x:c>
      <x:c r="F65" s="2">
        <x:v>6371904</x:v>
      </x:c>
      <x:c r="G65" s="2" t="s">
        <x:v>13</x:v>
      </x:c>
      <x:c r="H65" s="2" t="s">
        <x:v>38</x:v>
      </x:c>
      <x:c r="I65" s="2" t="s">
        <x:v>26</x:v>
      </x:c>
    </x:row>
    <x:row r="66">
      <x:c r="A66" s="2" t="s">
        <x:v>24</x:v>
      </x:c>
      <x:c r="B66" s="2" t="s">
        <x:v>10</x:v>
      </x:c>
      <x:c r="C66" s="2">
        <x:v>2024</x:v>
      </x:c>
      <x:c r="D66" s="2" t="s">
        <x:v>30</x:v>
      </x:c>
      <x:c r="E66" s="2" t="s">
        <x:v>34</x:v>
      </x:c>
      <x:c r="F66" s="2">
        <x:v>1910641</x:v>
      </x:c>
      <x:c r="G66" s="2" t="s">
        <x:v>13</x:v>
      </x:c>
      <x:c r="H66" s="2" t="s">
        <x:v>38</x:v>
      </x:c>
      <x:c r="I66" s="2" t="s">
        <x:v>26</x:v>
      </x:c>
    </x:row>
    <x:row r="67">
      <x:c r="A67" s="2" t="s">
        <x:v>24</x:v>
      </x:c>
      <x:c r="B67" s="2" t="s">
        <x:v>10</x:v>
      </x:c>
      <x:c r="C67" s="2">
        <x:v>2025</x:v>
      </x:c>
      <x:c r="D67" s="2" t="s">
        <x:v>30</x:v>
      </x:c>
      <x:c r="E67" s="2" t="s">
        <x:v>34</x:v>
      </x:c>
      <x:c r="F67" s="2">
        <x:v>3258929</x:v>
      </x:c>
      <x:c r="G67" s="2" t="s">
        <x:v>13</x:v>
      </x:c>
      <x:c r="H67" s="2" t="s">
        <x:v>38</x:v>
      </x:c>
      <x:c r="I67" s="2" t="s">
        <x:v>26</x:v>
      </x:c>
    </x:row>
    <x:row r="68">
      <x:c r="A68" s="2" t="s">
        <x:v>24</x:v>
      </x:c>
      <x:c r="B68" s="2" t="s">
        <x:v>10</x:v>
      </x:c>
      <x:c r="C68" s="2">
        <x:v>2024</x:v>
      </x:c>
      <x:c r="D68" s="2" t="s">
        <x:v>30</x:v>
      </x:c>
      <x:c r="E68" s="2" t="s">
        <x:v>35</x:v>
      </x:c>
      <x:c r="F68" s="2">
        <x:v>1892711</x:v>
      </x:c>
      <x:c r="G68" s="2" t="s">
        <x:v>13</x:v>
      </x:c>
      <x:c r="H68" s="2" t="s">
        <x:v>38</x:v>
      </x:c>
      <x:c r="I68" s="2" t="s">
        <x:v>26</x:v>
      </x:c>
    </x:row>
    <x:row r="69">
      <x:c r="A69" s="2" t="s">
        <x:v>24</x:v>
      </x:c>
      <x:c r="B69" s="2" t="s">
        <x:v>10</x:v>
      </x:c>
      <x:c r="C69" s="2">
        <x:v>2025</x:v>
      </x:c>
      <x:c r="D69" s="2" t="s">
        <x:v>30</x:v>
      </x:c>
      <x:c r="E69" s="2" t="s">
        <x:v>35</x:v>
      </x:c>
      <x:c r="F69" s="2">
        <x:v>2572128</x:v>
      </x:c>
      <x:c r="G69" s="2" t="s">
        <x:v>13</x:v>
      </x:c>
      <x:c r="H69" s="2" t="s">
        <x:v>38</x:v>
      </x:c>
      <x:c r="I69" s="2" t="s">
        <x:v>26</x:v>
      </x:c>
    </x:row>
    <x:row r="70">
      <x:c r="A70" s="2" t="s">
        <x:v>24</x:v>
      </x:c>
      <x:c r="B70" s="2" t="s">
        <x:v>10</x:v>
      </x:c>
      <x:c r="C70" s="2">
        <x:v>2024</x:v>
      </x:c>
      <x:c r="D70" s="2" t="s">
        <x:v>30</x:v>
      </x:c>
      <x:c r="E70" s="2" t="s">
        <x:v>36</x:v>
      </x:c>
      <x:c r="F70" s="2">
        <x:v>21.23</x:v>
      </x:c>
      <x:c r="G70" s="2" t="s">
        <x:v>37</x:v>
      </x:c>
      <x:c r="H70" s="2" t="s">
        <x:v>38</x:v>
      </x:c>
      <x:c r="I70" s="2" t="s">
        <x:v>26</x:v>
      </x:c>
    </x:row>
    <x:row r="71">
      <x:c r="A71" s="2" t="s">
        <x:v>24</x:v>
      </x:c>
      <x:c r="B71" s="2" t="s">
        <x:v>10</x:v>
      </x:c>
      <x:c r="C71" s="2">
        <x:v>2025</x:v>
      </x:c>
      <x:c r="D71" s="2" t="s">
        <x:v>30</x:v>
      </x:c>
      <x:c r="E71" s="2" t="s">
        <x:v>36</x:v>
      </x:c>
      <x:c r="F71" s="2">
        <x:v>28.26</x:v>
      </x:c>
      <x:c r="G71" s="2" t="s">
        <x:v>37</x:v>
      </x:c>
      <x:c r="H71" s="2" t="s">
        <x:v>38</x:v>
      </x:c>
      <x:c r="I71" s="2" t="s">
        <x:v>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1" width="9.36328125" style="6" customWidth="1"/>
    <x:col min="2" max="2" width="11.54296875" style="6" customWidth="1"/>
    <x:col min="3" max="3" width="8.7265625" style="6" customWidth="0"/>
    <x:col min="4" max="4" width="12.453125" style="19" customWidth="1"/>
    <x:col min="5" max="5" width="13.81640625" style="19" customWidth="1"/>
    <x:col min="6" max="6" width="11.6328125" style="19" customWidth="1"/>
    <x:col min="7" max="7" width="14.7265625" style="19" customWidth="1"/>
    <x:col min="8" max="8" width="8.7265625" style="6" customWidth="0"/>
    <x:col min="9" max="11" width="8.7265625" style="21" customWidth="0"/>
    <x:col min="12" max="16384" width="8.7265625" style="6" customWidth="0"/>
  </x:cols>
  <x:sheetData>
    <x:row r="1" s="15" customFormat="1">
      <x:c r="A1" s="14" t="s">
        <x:v>0</x:v>
      </x:c>
      <x:c r="B1" s="14" t="s">
        <x:v>1</x:v>
      </x:c>
      <x:c r="C1" s="14" t="s">
        <x:v>2</x:v>
      </x:c>
      <x:c r="D1" s="18" t="s">
        <x:v>39</x:v>
      </x:c>
      <x:c r="E1" s="18" t="s">
        <x:v>40</x:v>
      </x:c>
      <x:c r="F1" s="18" t="s">
        <x:v>41</x:v>
      </x:c>
      <x:c r="G1" s="18" t="s">
        <x:v>42</x:v>
      </x:c>
      <x:c r="H1" s="15" t="s">
        <x:v>43</x:v>
      </x:c>
      <x:c r="I1" s="20" t="s">
        <x:v>44</x:v>
      </x:c>
      <x:c r="J1" s="20" t="s">
        <x:v>45</x:v>
      </x:c>
      <x:c r="K1" s="20" t="s">
        <x:v>46</x:v>
      </x:c>
    </x:row>
    <x:row r="2">
      <x:c r="A2" s="7" t="s">
        <x:v>9</x:v>
      </x:c>
      <x:c r="B2" s="7" t="s">
        <x:v>10</x:v>
      </x:c>
      <x:c r="C2" s="7">
        <x:v>2024</x:v>
      </x:c>
      <x:c r="D2" s="19" t="n">
        <x:f>SUMIFS(raw_financials!$F:$F,raw_financials!$A:$A,$A2,raw_financials!$B:$B,$B2,raw_financials!$C:$C,$C2,raw_financials!$E:$E,"Revenue")</x:f>
        <x:v>71761296</x:v>
      </x:c>
      <x:c r="E2" s="19" t="n">
        <x:f>SUMIFS(raw_financials!$F:$F,raw_financials!$A:$A,$A2,raw_financials!$B:$B,$B2,raw_financials!$C:$C,$C2,raw_financials!$E:$E,"Gross Profit")</x:f>
        <x:v>16870441</x:v>
      </x:c>
      <x:c r="F2" s="19" t="n">
        <x:f>SUMIFS(raw_financials!$F:$F,raw_financials!$A:$A,$A2,raw_financials!$B:$B,$B2,raw_financials!$C:$C,$C2,raw_financials!$E:$E,"Operating Profit")</x:f>
        <x:v>10822659</x:v>
      </x:c>
      <x:c r="G2" s="19" t="n">
        <x:f>SUMIFS(raw_financials!$F:$F,raw_financials!$A:$A,$A2,raw_financials!$B:$B,$B2,raw_financials!$C:$C,$C2,raw_financials!$E:$E,"Net Income Attributable to Parent")</x:f>
        <x:v>8172379</x:v>
      </x:c>
      <x:c r="H2" s="6" t="n">
        <x:f>SUMIFS(raw_financials!$F:$F,raw_financials!$A:$A,$A2,raw_financials!$B:$B,$B2,raw_financials!$C:$C,$C2,raw_financials!$E:$E,"Basic EPS")</x:f>
        <x:v>21.21</x:v>
      </x:c>
      <x:c r="I2" s="21" t="n">
        <x:f> E2/D2</x:f>
        <x:v>0.23509108586890626</x:v>
      </x:c>
      <x:c r="J2" s="21" t="n">
        <x:f> F2/D2</x:f>
        <x:v>0.15081470936645291</x:v>
      </x:c>
      <x:c r="K2" s="21" t="n">
        <x:f> G2/D2</x:f>
        <x:v>0.11388282340943229</x:v>
      </x:c>
    </x:row>
    <x:row r="3">
      <x:c r="A3" s="7" t="s">
        <x:v>9</x:v>
      </x:c>
      <x:c r="B3" s="7" t="s">
        <x:v>10</x:v>
      </x:c>
      <x:c r="C3" s="7">
        <x:v>2025</x:v>
      </x:c>
      <x:c r="D3" s="19" t="n">
        <x:f>SUMIFS(raw_financials!$F:$F,raw_financials!$A:$A,$A3,raw_financials!$B:$B,$B3,raw_financials!$C:$C,$C3,raw_financials!$E:$E,"Revenue")</x:f>
        <x:v>139639362</x:v>
      </x:c>
      <x:c r="E3" s="19" t="n">
        <x:f>SUMIFS(raw_financials!$F:$F,raw_financials!$A:$A,$A3,raw_financials!$B:$B,$B3,raw_financials!$C:$C,$C3,raw_financials!$E:$E,"Gross Profit")</x:f>
        <x:v>36034003</x:v>
      </x:c>
      <x:c r="F3" s="19" t="n">
        <x:f>SUMIFS(raw_financials!$F:$F,raw_financials!$A:$A,$A3,raw_financials!$B:$B,$B3,raw_financials!$C:$C,$C3,raw_financials!$E:$E,"Operating Profit")</x:f>
        <x:v>27555663</x:v>
      </x:c>
      <x:c r="G3" s="19" t="n">
        <x:f>SUMIFS(raw_financials!$F:$F,raw_financials!$A:$A,$A3,raw_financials!$B:$B,$B3,raw_financials!$C:$C,$C3,raw_financials!$E:$E,"Net Income Attributable to Parent")</x:f>
        <x:v>19186495</x:v>
      </x:c>
      <x:c r="H3" s="6" t="n">
        <x:f>SUMIFS(raw_financials!$F:$F,raw_financials!$A:$A,$A3,raw_financials!$B:$B,$B3,raw_financials!$C:$C,$C3,raw_financials!$E:$E,"Basic EPS")</x:f>
        <x:v>49.17</x:v>
      </x:c>
      <x:c r="I3" s="21" t="n">
        <x:f t="shared" ref="I3:I7" si="0"> E3/D3</x:f>
        <x:v>0.25805047003867004</x:v>
      </x:c>
      <x:c r="J3" s="21" t="n">
        <x:f t="shared" ref="J3:J7" si="1"> F3/D3</x:f>
        <x:v>0.19733449512609488</x:v>
      </x:c>
      <x:c r="K3" s="21" t="n">
        <x:f t="shared" ref="K3:K7" si="2"> G3/D3</x:f>
        <x:v>0.1374003341550644</x:v>
      </x:c>
    </x:row>
    <x:row r="4">
      <x:c r="A4" s="7" t="s">
        <x:v>9</x:v>
      </x:c>
      <x:c r="B4" s="7" t="s">
        <x:v>21</x:v>
      </x:c>
      <x:c r="C4" s="7">
        <x:v>2024</x:v>
      </x:c>
      <x:c r="D4" s="19" t="n">
        <x:f>SUMIFS(raw_financials!$F:$F,raw_financials!$A:$A,$A4,raw_financials!$B:$B,$B4,raw_financials!$C:$C,$C4,raw_financials!$E:$E,"Revenue")</x:f>
        <x:v>51706461</x:v>
      </x:c>
      <x:c r="E4" s="19" t="n">
        <x:f>SUMIFS(raw_financials!$F:$F,raw_financials!$A:$A,$A4,raw_financials!$B:$B,$B4,raw_financials!$C:$C,$C4,raw_financials!$E:$E,"Gross Profit")</x:f>
        <x:v>7858466</x:v>
      </x:c>
      <x:c r="F4" s="19" t="n">
        <x:f>SUMIFS(raw_financials!$F:$F,raw_financials!$A:$A,$A4,raw_financials!$B:$B,$B4,raw_financials!$C:$C,$C4,raw_financials!$E:$E,"Operating Profit")</x:f>
        <x:v>5450576</x:v>
      </x:c>
      <x:c r="G4" s="19" t="n">
        <x:f>SUMIFS(raw_financials!$F:$F,raw_financials!$A:$A,$A4,raw_financials!$B:$B,$B4,raw_financials!$C:$C,$C4,raw_financials!$E:$E,"Net Income Attributable to Parent")</x:f>
        <x:v>8172379</x:v>
      </x:c>
      <x:c r="H4" s="6" t="n">
        <x:f>SUMIFS(raw_financials!$F:$F,raw_financials!$A:$A,$A4,raw_financials!$B:$B,$B4,raw_financials!$C:$C,$C4,raw_financials!$E:$E,"Basic EPS")</x:f>
        <x:v>21.21</x:v>
      </x:c>
      <x:c r="I4" s="21" t="n">
        <x:f t="shared" si="0">E4/D4</x:f>
        <x:v>0.1519822832198862</x:v>
      </x:c>
      <x:c r="J4" s="21" t="n">
        <x:f t="shared" si="1">F4/D4</x:f>
        <x:v>0.10541382826413125</x:v>
      </x:c>
      <x:c r="K4" s="21" t="n">
        <x:f t="shared" si="2">G4/D4</x:f>
        <x:v>0.15805334269541285</x:v>
      </x:c>
    </x:row>
    <x:row r="5">
      <x:c r="A5" s="7" t="s">
        <x:v>9</x:v>
      </x:c>
      <x:c r="B5" s="7" t="s">
        <x:v>21</x:v>
      </x:c>
      <x:c r="C5" s="7">
        <x:v>2025</x:v>
      </x:c>
      <x:c r="D5" s="19" t="n">
        <x:f>SUMIFS(raw_financials!$F:$F,raw_financials!$A:$A,$A5,raw_financials!$B:$B,$B5,raw_financials!$C:$C,$C5,raw_financials!$E:$E,"Revenue")</x:f>
        <x:v>116648199</x:v>
      </x:c>
      <x:c r="E5" s="19" t="n">
        <x:f>SUMIFS(raw_financials!$F:$F,raw_financials!$A:$A,$A5,raw_financials!$B:$B,$B5,raw_financials!$C:$C,$C5,raw_financials!$E:$E,"Gross Profit")</x:f>
        <x:v>23864959</x:v>
      </x:c>
      <x:c r="F5" s="19" t="n">
        <x:f>SUMIFS(raw_financials!$F:$F,raw_financials!$A:$A,$A5,raw_financials!$B:$B,$B5,raw_financials!$C:$C,$C5,raw_financials!$E:$E,"Operating Profit")</x:f>
        <x:v>19760774</x:v>
      </x:c>
      <x:c r="G5" s="19" t="n">
        <x:f>SUMIFS(raw_financials!$F:$F,raw_financials!$A:$A,$A5,raw_financials!$B:$B,$B5,raw_financials!$C:$C,$C5,raw_financials!$E:$E,"Net Income Attributable to Parent")</x:f>
        <x:v>19186495</x:v>
      </x:c>
      <x:c r="H5" s="6" t="n">
        <x:f>SUMIFS(raw_financials!$F:$F,raw_financials!$A:$A,$A5,raw_financials!$B:$B,$B5,raw_financials!$C:$C,$C5,raw_financials!$E:$E,"Basic EPS")</x:f>
        <x:v>49.17</x:v>
      </x:c>
      <x:c r="I5" s="21" t="n">
        <x:f t="shared" si="0">E5/D5</x:f>
        <x:v>0.20458917672616617</x:v>
      </x:c>
      <x:c r="J5" s="21" t="n">
        <x:f t="shared" si="1">F5/D5</x:f>
        <x:v>0.16940487868141024</x:v>
      </x:c>
      <x:c r="K5" s="21" t="n">
        <x:f t="shared" si="2">G5/D5</x:f>
        <x:v>0.16448170794304334</x:v>
      </x:c>
    </x:row>
    <x:row r="6">
      <x:c r="A6" s="7" t="s">
        <x:v>24</x:v>
      </x:c>
      <x:c r="B6" s="7" t="s">
        <x:v>10</x:v>
      </x:c>
      <x:c r="C6" s="7">
        <x:v>2024</x:v>
      </x:c>
      <x:c r="D6" s="19" t="n">
        <x:f>SUMIFS(raw_financials!$F:$F,raw_financials!$A:$A,$A6,raw_financials!$B:$B,$B6,raw_financials!$C:$C,$C6,raw_financials!$E:$E,"Revenue")</x:f>
        <x:v>15778909</x:v>
      </x:c>
      <x:c r="E6" s="19" t="n">
        <x:f>SUMIFS(raw_financials!$F:$F,raw_financials!$A:$A,$A6,raw_financials!$B:$B,$B6,raw_financials!$C:$C,$C6,raw_financials!$E:$E,"Gross Profit")</x:f>
        <x:v>4026096</x:v>
      </x:c>
      <x:c r="F6" s="19" t="n">
        <x:f>SUMIFS(raw_financials!$F:$F,raw_financials!$A:$A,$A6,raw_financials!$B:$B,$B6,raw_financials!$C:$C,$C6,raw_financials!$E:$E,"Operating Profit")</x:f>
        <x:v>1910641</x:v>
      </x:c>
      <x:c r="G6" s="19" t="n">
        <x:f>SUMIFS(raw_financials!$F:$F,raw_financials!$A:$A,$A6,raw_financials!$B:$B,$B6,raw_financials!$C:$C,$C6,raw_financials!$E:$E,"Net Income Attributable to Parent")</x:f>
        <x:v>1892711</x:v>
      </x:c>
      <x:c r="H6" s="6" t="n">
        <x:f>SUMIFS(raw_financials!$F:$F,raw_financials!$A:$A,$A6,raw_financials!$B:$B,$B6,raw_financials!$C:$C,$C6,raw_financials!$E:$E,"Basic EPS")</x:f>
        <x:v>21.23</x:v>
      </x:c>
      <x:c r="I6" s="21" t="n">
        <x:f t="shared" si="0">E6/D6</x:f>
        <x:v>0.25515680456741335</x:v>
      </x:c>
      <x:c r="J6" s="21" t="n">
        <x:f t="shared" si="1">F6/D6</x:f>
        <x:v>0.12108828309992789</x:v>
      </x:c>
      <x:c r="K6" s="21" t="n">
        <x:f t="shared" si="2">G6/D6</x:f>
        <x:v>0.11995195612066716</x:v>
      </x:c>
    </x:row>
    <x:row r="7">
      <x:c r="A7" s="7" t="s">
        <x:v>24</x:v>
      </x:c>
      <x:c r="B7" s="7" t="s">
        <x:v>10</x:v>
      </x:c>
      <x:c r="C7" s="7">
        <x:v>2025</x:v>
      </x:c>
      <x:c r="D7" s="19" t="n">
        <x:f>SUMIFS(raw_financials!$F:$F,raw_financials!$A:$A,$A7,raw_financials!$B:$B,$B7,raw_financials!$C:$C,$C7,raw_financials!$E:$E,"Revenue")</x:f>
        <x:v>23276344</x:v>
      </x:c>
      <x:c r="E7" s="19" t="n">
        <x:f>SUMIFS(raw_financials!$F:$F,raw_financials!$A:$A,$A7,raw_financials!$B:$B,$B7,raw_financials!$C:$C,$C7,raw_financials!$E:$E,"Gross Profit")</x:f>
        <x:v>6371904</x:v>
      </x:c>
      <x:c r="F7" s="19" t="n">
        <x:f>SUMIFS(raw_financials!$F:$F,raw_financials!$A:$A,$A7,raw_financials!$B:$B,$B7,raw_financials!$C:$C,$C7,raw_financials!$E:$E,"Operating Profit")</x:f>
        <x:v>3258929</x:v>
      </x:c>
      <x:c r="G7" s="19" t="n">
        <x:f>SUMIFS(raw_financials!$F:$F,raw_financials!$A:$A,$A7,raw_financials!$B:$B,$B7,raw_financials!$C:$C,$C7,raw_financials!$E:$E,"Net Income Attributable to Parent")</x:f>
        <x:v>2572128</x:v>
      </x:c>
      <x:c r="H7" s="6" t="n">
        <x:f>SUMIFS(raw_financials!$F:$F,raw_financials!$A:$A,$A7,raw_financials!$B:$B,$B7,raw_financials!$C:$C,$C7,raw_financials!$E:$E,"Basic EPS")</x:f>
        <x:v>28.26</x:v>
      </x:c>
      <x:c r="I7" s="21" t="n">
        <x:f t="shared" si="0">E7/D7</x:f>
        <x:v>0.27375020750681467</x:v>
      </x:c>
      <x:c r="J7" s="21" t="n">
        <x:f t="shared" si="1">F7/D7</x:f>
        <x:v>0.14001034698576376</x:v>
      </x:c>
      <x:c r="K7" s="21" t="n">
        <x:f t="shared" si="2">G7/D7</x:f>
        <x:v>0.11050395199521025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7"/>
  <x:cols>
    <x:col min="1" max="1" width="8.7265625" style="6" customWidth="0"/>
    <x:col min="2" max="2" width="12.26953125" style="6" customWidth="1"/>
    <x:col min="3" max="3" width="8.7265625" style="6" customWidth="0"/>
    <x:col min="4" max="4" width="15.453125" style="6" customWidth="1"/>
    <x:col min="5" max="5" width="18" style="6" customWidth="1"/>
    <x:col min="6" max="6" width="9.26953125" style="6" customWidth="1"/>
    <x:col min="7" max="7" width="14" style="6" customWidth="1"/>
    <x:col min="8" max="8" width="13.26953125" style="6" customWidth="1"/>
    <x:col min="9" max="9" width="15.81640625" style="6" customWidth="1"/>
    <x:col min="10" max="10" width="15.36328125" style="6" customWidth="1"/>
    <x:col min="11" max="11" width="9.26953125" style="6" customWidth="1"/>
    <x:col min="12" max="16384" width="8.7265625" style="6" customWidth="0"/>
  </x:cols>
  <x:sheetData>
    <x:row r="1" ht="51">
      <x:c r="A1" s="1" t="s">
        <x:v>0</x:v>
      </x:c>
      <x:c r="B1" s="1" t="s">
        <x:v>1</x:v>
      </x:c>
      <x:c r="C1" s="1" t="s">
        <x:v>2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8" t="s">
        <x:v>54</x:v>
      </x:c>
      <x:c r="L1" s="8" t="s">
        <x:v>55</x:v>
      </x:c>
      <x:c r="M1" s="8" t="s">
        <x:v>56</x:v>
      </x:c>
      <x:c r="N1" s="8" t="s">
        <x:v>57</x:v>
      </x:c>
    </x:row>
    <x:row r="2">
      <x:c r="A2" s="7" t="s">
        <x:v>9</x:v>
      </x:c>
      <x:c r="B2" s="7" t="s">
        <x:v>10</x:v>
      </x:c>
      <x:c r="C2" s="7">
        <x:v>2024</x:v>
      </x:c>
      <x:c r="D2" s="3" t="n">
        <x:f>SUMIFS(raw_financials!$F:$F,raw_financials!$A:$A,$A2,raw_financials!$B:$B,$B2,raw_financials!$C:$C,$C2,raw_financials!$E:$E,"Current Assets")</x:f>
        <x:v>76092357</x:v>
      </x:c>
      <x:c r="E2" s="6" t="n">
        <x:f>SUMIFS(raw_financials!$F:$F,raw_financials!$A:$A,$A2,raw_financials!$B:$B,$B2,raw_financials!$C:$C,$C2,raw_financials!$E:$E,"Current Liabilities")</x:f>
        <x:v>58288126</x:v>
      </x:c>
      <x:c r="F2" s="6" t="n">
        <x:f>SUMIFS(raw_financials!$F:$F,raw_financials!$A:$A,$A2,raw_financials!$B:$B,$B2,raw_financials!$C:$C,$C2,raw_financials!$E:$E,"Cash and Cash Equivalents")</x:f>
        <x:v>29923508</x:v>
      </x:c>
      <x:c r="G2" s="6" t="n">
        <x:f>SUMIFS(raw_financials!$F:$F,raw_financials!$A:$A,$A2,raw_financials!$B:$B,$B2,raw_financials!$C:$C,$C2,raw_financials!$E:$E,"Total Assets")</x:f>
        <x:v>99905561</x:v>
      </x:c>
      <x:c r="H2" s="6" t="n">
        <x:f>D2/E2</x:f>
        <x:v>1.3054521087193642</x:v>
      </x:c>
      <x:c r="I2" s="6" t="n">
        <x:f>F2/E2</x:f>
        <x:v>0.5133722775715932</x:v>
      </x:c>
      <x:c r="J2" s="6" t="n">
        <x:f>(D2-E2)/G2</x:f>
        <x:v>0.17821061031827848</x:v>
      </x:c>
      <x:c r="K2" s="8" t="n">
        <x:f>SUMIFS(raw_financials!$F:$F,raw_financials!$A:$A,$A2,raw_financials!$B:$B,$B2,raw_financials!$C:$C,$C2,raw_financials!$E:$E,"Inventory")</x:f>
        <x:v>33397345</x:v>
      </x:c>
      <x:c r="L2" s="6" t="n">
        <x:f>SUMIFS(raw_financials!$F:$F,raw_financials!$A:$A,$A2,raw_financials!$B:$B,$B2,raw_financials!$C:$C,$C2,raw_financials!$E:$E,"Prepayments")</x:f>
        <x:v>751509</x:v>
      </x:c>
      <x:c r="M2" s="6" t="n">
        <x:f>SUMIFS(raw_financials!$F:$F,raw_financials!$A:$A,$A2,raw_financials!$B:$B,$B2,raw_financials!$C:$C,$C2,raw_financials!$E:$E,"Other Current Assets")</x:f>
        <x:v>1637875</x:v>
      </x:c>
      <x:c r="N2" s="6" t="n">
        <x:f>(D2-K2-L2-M2)/E2</x:f>
        <x:v>0.6914895153774544</x:v>
      </x:c>
    </x:row>
    <x:row r="3">
      <x:c r="A3" s="7" t="s">
        <x:v>9</x:v>
      </x:c>
      <x:c r="B3" s="7" t="s">
        <x:v>10</x:v>
      </x:c>
      <x:c r="C3" s="7">
        <x:v>2025</x:v>
      </x:c>
      <x:c r="D3" s="3" t="n">
        <x:f>SUMIFS(raw_financials!$F:$F,raw_financials!$A:$A,$A3,raw_financials!$B:$B,$B3,raw_financials!$C:$C,$C3,raw_financials!$E:$E,"Current Assets")</x:f>
        <x:v>126176263</x:v>
      </x:c>
      <x:c r="E3" s="6" t="n">
        <x:f>SUMIFS(raw_financials!$F:$F,raw_financials!$A:$A,$A3,raw_financials!$B:$B,$B3,raw_financials!$C:$C,$C3,raw_financials!$E:$E,"Current Liabilities")</x:f>
        <x:v>97495418</x:v>
      </x:c>
      <x:c r="F3" s="6" t="n">
        <x:f>SUMIFS(raw_financials!$F:$F,raw_financials!$A:$A,$A3,raw_financials!$B:$B,$B3,raw_financials!$C:$C,$C3,raw_financials!$E:$E,"Cash and Cash Equivalents")</x:f>
        <x:v>58529798</x:v>
      </x:c>
      <x:c r="G3" s="6" t="n">
        <x:f>SUMIFS(raw_financials!$F:$F,raw_financials!$A:$A,$A3,raw_financials!$B:$B,$B3,raw_financials!$C:$C,$C3,raw_financials!$E:$E,"Total Assets")</x:f>
        <x:v>160136525</x:v>
      </x:c>
      <x:c r="H3" s="6" t="n">
        <x:f t="shared" ref="H3:H7" si="0">D3/E3</x:f>
        <x:v>1.2941763375997835</x:v>
      </x:c>
      <x:c r="I3" s="6" t="n">
        <x:f t="shared" ref="I3:I7" si="1">F3/E3</x:f>
        <x:v>0.6003338331243423</x:v>
      </x:c>
      <x:c r="J3" s="6" t="n">
        <x:f t="shared" ref="J3:J7" si="2">(D3-E3)/G3</x:f>
        <x:v>0.17910245648205492</x:v>
      </x:c>
      <x:c r="K3" s="8" t="n">
        <x:f>SUMIFS(raw_financials!$F:$F,raw_financials!$A:$A,$A3,raw_financials!$B:$B,$B3,raw_financials!$C:$C,$C3,raw_financials!$E:$E,"Inventory")</x:f>
        <x:v>49572264</x:v>
      </x:c>
      <x:c r="L3" s="6" t="n">
        <x:f>SUMIFS(raw_financials!$F:$F,raw_financials!$A:$A,$A3,raw_financials!$B:$B,$B3,raw_financials!$C:$C,$C3,raw_financials!$E:$E,"Prepayments")</x:f>
        <x:v>690460</x:v>
      </x:c>
      <x:c r="M3" s="6" t="n">
        <x:f>SUMIFS(raw_financials!$F:$F,raw_financials!$A:$A,$A3,raw_financials!$B:$B,$B3,raw_financials!$C:$C,$C3,raw_financials!$E:$E,"Other Current Assets")</x:f>
        <x:v>2259558</x:v>
      </x:c>
      <x:c r="N3" s="6" t="n">
        <x:f t="shared" ref="N3:N7" si="3">(D3-K3-L3-M3)/E3</x:f>
        <x:v>0.7554609489442878</x:v>
      </x:c>
    </x:row>
    <x:row r="4">
      <x:c r="A4" s="7" t="s">
        <x:v>9</x:v>
      </x:c>
      <x:c r="B4" s="7" t="s">
        <x:v>21</x:v>
      </x:c>
      <x:c r="C4" s="7">
        <x:v>2024</x:v>
      </x:c>
      <x:c r="D4" s="3" t="n">
        <x:f>SUMIFS(raw_financials!$F:$F,raw_financials!$A:$A,$A4,raw_financials!$B:$B,$B4,raw_financials!$C:$C,$C4,raw_financials!$E:$E,"Current Assets")</x:f>
        <x:v>40244122</x:v>
      </x:c>
      <x:c r="E4" s="6" t="n">
        <x:f>SUMIFS(raw_financials!$F:$F,raw_financials!$A:$A,$A4,raw_financials!$B:$B,$B4,raw_financials!$C:$C,$C4,raw_financials!$E:$E,"Current Liabilities")</x:f>
        <x:v>34675005</x:v>
      </x:c>
      <x:c r="F4" s="6" t="n">
        <x:f>SUMIFS(raw_financials!$F:$F,raw_financials!$A:$A,$A4,raw_financials!$B:$B,$B4,raw_financials!$C:$C,$C4,raw_financials!$E:$E,"Cash and Cash Equivalents")</x:f>
        <x:v>13257003</x:v>
      </x:c>
      <x:c r="G4" s="6" t="n">
        <x:f>SUMIFS(raw_financials!$F:$F,raw_financials!$A:$A,$A4,raw_financials!$B:$B,$B4,raw_financials!$C:$C,$C4,raw_financials!$E:$E,"Total Assets")</x:f>
        <x:v>68223791</x:v>
      </x:c>
      <x:c r="H4" s="6" t="n">
        <x:f t="shared" si="0">D4/E4</x:f>
        <x:v>1.1606089746778696</x:v>
      </x:c>
      <x:c r="I4" s="6" t="n">
        <x:f t="shared" si="1">F4/E4</x:f>
        <x:v>0.3823215887063318</x:v>
      </x:c>
      <x:c r="J4" s="6" t="n">
        <x:f t="shared" si="2">(D4-E4)/G4</x:f>
        <x:v>0.08163013104915263</x:v>
      </x:c>
      <x:c r="K4" s="8" t="n">
        <x:f>SUMIFS(raw_financials!$F:$F,raw_financials!$A:$A,$A4,raw_financials!$B:$B,$B4,raw_financials!$C:$C,$C4,raw_financials!$E:$E,"Inventory")</x:f>
        <x:v>21900717</x:v>
      </x:c>
      <x:c r="L4" s="6" t="n">
        <x:f>SUMIFS(raw_financials!$F:$F,raw_financials!$A:$A,$A4,raw_financials!$B:$B,$B4,raw_financials!$C:$C,$C4,raw_financials!$E:$E,"Prepayments")</x:f>
        <x:v>28261</x:v>
      </x:c>
      <x:c r="M4" s="6" t="n">
        <x:f>SUMIFS(raw_financials!$F:$F,raw_financials!$A:$A,$A4,raw_financials!$B:$B,$B4,raw_financials!$C:$C,$C4,raw_financials!$E:$E,"Other Current Assets")</x:f>
        <x:v>6884</x:v>
      </x:c>
      <x:c r="N4" s="6" t="n">
        <x:f t="shared" si="3">(D4-K4-L4-M4)/E4</x:f>
        <x:v>0.527995886374061</x:v>
      </x:c>
    </x:row>
    <x:row r="5">
      <x:c r="A5" s="7" t="s">
        <x:v>9</x:v>
      </x:c>
      <x:c r="B5" s="7" t="s">
        <x:v>21</x:v>
      </x:c>
      <x:c r="C5" s="7">
        <x:v>2025</x:v>
      </x:c>
      <x:c r="D5" s="3" t="n">
        <x:f>SUMIFS(raw_financials!$F:$F,raw_financials!$A:$A,$A5,raw_financials!$B:$B,$B5,raw_financials!$C:$C,$C5,raw_financials!$E:$E,"Current Assets")</x:f>
        <x:v>80361338</x:v>
      </x:c>
      <x:c r="E5" s="6" t="n">
        <x:f>SUMIFS(raw_financials!$F:$F,raw_financials!$A:$A,$A5,raw_financials!$B:$B,$B5,raw_financials!$C:$C,$C5,raw_financials!$E:$E,"Current Liabilities")</x:f>
        <x:v>59385070</x:v>
      </x:c>
      <x:c r="F5" s="6" t="n">
        <x:f>SUMIFS(raw_financials!$F:$F,raw_financials!$A:$A,$A5,raw_financials!$B:$B,$B5,raw_financials!$C:$C,$C5,raw_financials!$E:$E,"Cash and Cash Equivalents")</x:f>
        <x:v>34150617</x:v>
      </x:c>
      <x:c r="G5" s="6" t="n">
        <x:f>SUMIFS(raw_financials!$F:$F,raw_financials!$A:$A,$A5,raw_financials!$B:$B,$B5,raw_financials!$C:$C,$C5,raw_financials!$E:$E,"Total Assets")</x:f>
        <x:v>112556283</x:v>
      </x:c>
      <x:c r="H5" s="6" t="n">
        <x:f t="shared" si="0">D5/E5</x:f>
        <x:v>1.3532246067908988</x:v>
      </x:c>
      <x:c r="I5" s="6" t="n">
        <x:f t="shared" si="1">F5/E5</x:f>
        <x:v>0.5750707543158575</x:v>
      </x:c>
      <x:c r="J5" s="6" t="n">
        <x:f t="shared" si="2">(D5-E5)/G5</x:f>
        <x:v>0.1863624796494035</x:v>
      </x:c>
      <x:c r="K5" s="8" t="n">
        <x:f>SUMIFS(raw_financials!$F:$F,raw_financials!$A:$A,$A5,raw_financials!$B:$B,$B5,raw_financials!$C:$C,$C5,raw_financials!$E:$E,"Inventory")</x:f>
        <x:v>36915146</x:v>
      </x:c>
      <x:c r="L5" s="6" t="n">
        <x:f>SUMIFS(raw_financials!$F:$F,raw_financials!$A:$A,$A5,raw_financials!$B:$B,$B5,raw_financials!$C:$C,$C5,raw_financials!$E:$E,"Prepayments")</x:f>
        <x:v>61180</x:v>
      </x:c>
      <x:c r="M5" s="6" t="n">
        <x:f>SUMIFS(raw_financials!$F:$F,raw_financials!$A:$A,$A5,raw_financials!$B:$B,$B5,raw_financials!$C:$C,$C5,raw_financials!$E:$E,"Other Current Assets")</x:f>
        <x:v>16422</x:v>
      </x:c>
      <x:c r="N5" s="6" t="n">
        <x:f t="shared" si="3">(D5-K5-L5-M5)/E5</x:f>
        <x:v>0.7302944999475457</x:v>
      </x:c>
    </x:row>
    <x:row r="6">
      <x:c r="A6" s="7" t="s">
        <x:v>24</x:v>
      </x:c>
      <x:c r="B6" s="7" t="s">
        <x:v>10</x:v>
      </x:c>
      <x:c r="C6" s="7">
        <x:v>2024</x:v>
      </x:c>
      <x:c r="D6" s="3" t="n">
        <x:f>SUMIFS(raw_financials!$F:$F,raw_financials!$A:$A,$A6,raw_financials!$B:$B,$B6,raw_financials!$C:$C,$C6,raw_financials!$E:$E,"Current Assets")</x:f>
        <x:v>11679883</x:v>
      </x:c>
      <x:c r="E6" s="6" t="n">
        <x:f>SUMIFS(raw_financials!$F:$F,raw_financials!$A:$A,$A6,raw_financials!$B:$B,$B6,raw_financials!$C:$C,$C6,raw_financials!$E:$E,"Current Liabilities")</x:f>
        <x:v>5901656</x:v>
      </x:c>
      <x:c r="F6" s="6" t="n">
        <x:f>SUMIFS(raw_financials!$F:$F,raw_financials!$A:$A,$A6,raw_financials!$B:$B,$B6,raw_financials!$C:$C,$C6,raw_financials!$E:$E,"Cash and Cash Equivalents")</x:f>
        <x:v>2808811</x:v>
      </x:c>
      <x:c r="G6" s="6" t="n">
        <x:f>SUMIFS(raw_financials!$F:$F,raw_financials!$A:$A,$A6,raw_financials!$B:$B,$B6,raw_financials!$C:$C,$C6,raw_financials!$E:$E,"Total Assets")</x:f>
        <x:v>16926376</x:v>
      </x:c>
      <x:c r="H6" s="6" t="n">
        <x:f t="shared" si="0">D6/E6</x:f>
        <x:v>1.9790857006914668</x:v>
      </x:c>
      <x:c r="I6" s="6" t="n">
        <x:f t="shared" si="1">F6/E6</x:f>
        <x:v>0.4759360762470737</x:v>
      </x:c>
      <x:c r="J6" s="6" t="n">
        <x:f t="shared" si="2">(D6-E6)/G6</x:f>
        <x:v>0.3413741370273235</x:v>
      </x:c>
      <x:c r="K6" s="8" t="n">
        <x:f>SUMIFS(raw_financials!$F:$F,raw_financials!$A:$A,$A6,raw_financials!$B:$B,$B6,raw_financials!$C:$C,$C6,raw_financials!$E:$E,"Inventory")</x:f>
        <x:v>2809505</x:v>
      </x:c>
      <x:c r="L6" s="6" t="n">
        <x:f>SUMIFS(raw_financials!$F:$F,raw_financials!$A:$A,$A6,raw_financials!$B:$B,$B6,raw_financials!$C:$C,$C6,raw_financials!$E:$E,"Prepayments")</x:f>
        <x:v>0</x:v>
      </x:c>
      <x:c r="M6" s="6" t="n">
        <x:f>SUMIFS(raw_financials!$F:$F,raw_financials!$A:$A,$A6,raw_financials!$B:$B,$B6,raw_financials!$C:$C,$C6,raw_financials!$E:$E,"Other Current Assets")</x:f>
        <x:v>475050</x:v>
      </x:c>
      <x:c r="N6" s="6" t="n">
        <x:f t="shared" si="3">(D6-K6-L6-M6)/E6</x:f>
        <x:v>1.4225376741714528</x:v>
      </x:c>
    </x:row>
    <x:row r="7">
      <x:c r="A7" s="7" t="s">
        <x:v>24</x:v>
      </x:c>
      <x:c r="B7" s="7" t="s">
        <x:v>10</x:v>
      </x:c>
      <x:c r="C7" s="7">
        <x:v>2025</x:v>
      </x:c>
      <x:c r="D7" s="3" t="n">
        <x:f>SUMIFS(raw_financials!$F:$F,raw_financials!$A:$A,$A7,raw_financials!$B:$B,$B7,raw_financials!$C:$C,$C7,raw_financials!$E:$E,"Current Assets")</x:f>
        <x:v>18587376</x:v>
      </x:c>
      <x:c r="E7" s="6" t="n">
        <x:f>SUMIFS(raw_financials!$F:$F,raw_financials!$A:$A,$A7,raw_financials!$B:$B,$B7,raw_financials!$C:$C,$C7,raw_financials!$E:$E,"Current Liabilities")</x:f>
        <x:v>12522996</x:v>
      </x:c>
      <x:c r="F7" s="6" t="n">
        <x:f>SUMIFS(raw_financials!$F:$F,raw_financials!$A:$A,$A7,raw_financials!$B:$B,$B7,raw_financials!$C:$C,$C7,raw_financials!$E:$E,"Cash and Cash Equivalents")</x:f>
        <x:v>1438936</x:v>
      </x:c>
      <x:c r="G7" s="6" t="n">
        <x:f>SUMIFS(raw_financials!$F:$F,raw_financials!$A:$A,$A7,raw_financials!$B:$B,$B7,raw_financials!$C:$C,$C7,raw_financials!$E:$E,"Total Assets")</x:f>
        <x:v>26124609</x:v>
      </x:c>
      <x:c r="H7" s="6" t="n">
        <x:f t="shared" si="0">D7/E7</x:f>
        <x:v>1.4842595174509359</x:v>
      </x:c>
      <x:c r="I7" s="6" t="n">
        <x:f t="shared" si="1">F7/E7</x:f>
        <x:v>0.11490349433953345</x:v>
      </x:c>
      <x:c r="J7" s="6" t="n">
        <x:f t="shared" si="2">(D7-E7)/G7</x:f>
        <x:v>0.23213285220842922</x:v>
      </x:c>
      <x:c r="K7" s="8" t="n">
        <x:f>SUMIFS(raw_financials!$F:$F,raw_financials!$A:$A,$A7,raw_financials!$B:$B,$B7,raw_financials!$C:$C,$C7,raw_financials!$E:$E,"Inventory")</x:f>
        <x:v>6057435</x:v>
      </x:c>
      <x:c r="L7" s="6" t="n">
        <x:f>SUMIFS(raw_financials!$F:$F,raw_financials!$A:$A,$A7,raw_financials!$B:$B,$B7,raw_financials!$C:$C,$C7,raw_financials!$E:$E,"Prepayments")</x:f>
        <x:v>0</x:v>
      </x:c>
      <x:c r="M7" s="6" t="n">
        <x:f>SUMIFS(raw_financials!$F:$F,raw_financials!$A:$A,$A7,raw_financials!$B:$B,$B7,raw_financials!$C:$C,$C7,raw_financials!$E:$E,"Other Current Assets")</x:f>
        <x:v>842124</x:v>
      </x:c>
      <x:c r="N7" s="6" t="n">
        <x:f t="shared" si="3">(D7-K7-L7-M7)/E7</x:f>
        <x:v>0.9333083712555685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"/>
  <x:cols>
    <x:col min="1" max="1" width="27.7265625" style="6" customWidth="1"/>
    <x:col min="2" max="5" width="8.7265625" style="6" customWidth="0"/>
    <x:col min="6" max="7" width="8.7265625" style="6" customWidth="1"/>
    <x:col min="8" max="8" width="12.6328125" style="6" customWidth="1"/>
    <x:col min="9" max="16384" width="8.7265625" style="6" customWidth="0"/>
  </x:cols>
  <x:sheetData>
    <x:row r="1" s="10" customFormat="1" ht="35" customHeight="1">
      <x:c r="A1" s="1" t="s">
        <x:v>58</x:v>
      </x:c>
      <x:c r="B1" s="1">
        <x:v>2024</x:v>
      </x:c>
      <x:c r="C1" s="1">
        <x:v>2025</x:v>
      </x:c>
      <x:c r="F1" s="16" t="s">
        <x:v>59</x:v>
      </x:c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</x:row>
    <x:row r="2">
      <x:c r="A2" s="8" t="s">
        <x:v>60</x:v>
      </x:c>
      <x:c r="B2" s="11" t="n">
        <x:f>liquidity_metrics!H2</x:f>
        <x:v>1.3054521087193642</x:v>
      </x:c>
      <x:c r="C2" s="11" t="n">
        <x:f>liquidity_metrics!H3</x:f>
        <x:v>1.2941763375997835</x:v>
      </x:c>
    </x:row>
    <x:row r="3">
      <x:c r="A3" s="8" t="s">
        <x:v>61</x:v>
      </x:c>
      <x:c r="B3" s="11" t="n">
        <x:f>liquidity_metrics!H4</x:f>
        <x:v>1.1606089746778696</x:v>
      </x:c>
      <x:c r="C3" s="11" t="n">
        <x:f>liquidity_metrics!H5</x:f>
        <x:v>1.3532246067908988</x:v>
      </x:c>
    </x:row>
    <x:row r="4">
      <x:c r="A4" s="8" t="s">
        <x:v>62</x:v>
      </x:c>
      <x:c r="B4" s="11" t="n">
        <x:f>liquidity_metrics!H6</x:f>
        <x:v>1.9790857006914668</x:v>
      </x:c>
      <x:c r="C4" s="11" t="n">
        <x:f>liquidity_metrics!H7</x:f>
        <x:v>1.4842595174509359</x:v>
      </x:c>
    </x:row>
    <x:row r="7">
      <x:c r="A7" s="8" t="s">
        <x:v>58</x:v>
      </x:c>
      <x:c r="B7" s="8">
        <x:v>2024</x:v>
      </x:c>
      <x:c r="C7" s="8">
        <x:v>2025</x:v>
      </x:c>
    </x:row>
    <x:row r="8">
      <x:c r="A8" s="8" t="s">
        <x:v>60</x:v>
      </x:c>
      <x:c r="B8" s="11" t="n">
        <x:f>liquidity_metrics!N2</x:f>
        <x:v>0.6914895153774544</x:v>
      </x:c>
      <x:c r="C8" s="11" t="n">
        <x:f>liquidity_metrics!N3</x:f>
        <x:v>0.7554609489442878</x:v>
      </x:c>
    </x:row>
    <x:row r="9">
      <x:c r="A9" s="8" t="s">
        <x:v>61</x:v>
      </x:c>
      <x:c r="B9" s="11" t="n">
        <x:f>liquidity_metrics!N4</x:f>
        <x:v>0.527995886374061</x:v>
      </x:c>
      <x:c r="C9" s="11" t="n">
        <x:f>liquidity_metrics!N5</x:f>
        <x:v>0.7302944999475457</x:v>
      </x:c>
    </x:row>
    <x:row r="10">
      <x:c r="A10" s="8" t="s">
        <x:v>62</x:v>
      </x:c>
      <x:c r="B10" s="11" t="n">
        <x:f>liquidity_metrics!N6</x:f>
        <x:v>1.4225376741714528</x:v>
      </x:c>
      <x:c r="C10" s="11" t="n">
        <x:f>liquidity_metrics!N7</x:f>
        <x:v>0.9333083712555685</x:v>
      </x:c>
    </x:row>
    <x:row r="15" ht="51">
      <x:c r="F15" s="9" t="s">
        <x:v>58</x:v>
      </x:c>
      <x:c r="G15" s="9" t="s">
        <x:v>63</x:v>
      </x:c>
      <x:c r="H15" s="9" t="s">
        <x:v>64</x:v>
      </x:c>
    </x:row>
    <x:row r="16" ht="51">
      <x:c r="F16" s="8" t="s">
        <x:v>60</x:v>
      </x:c>
      <x:c r="G16" s="13" t="n">
        <x:f>liquidity_metrics!H3-liquidity_metrics!H2</x:f>
        <x:v>-0.01127577111958078</x:v>
      </x:c>
      <x:c r="H16" s="12" t="n">
        <x:f>liquidity_metrics!N3-liquidity_metrics!N2</x:f>
        <x:v>0.06397143356683344</x:v>
      </x:c>
    </x:row>
    <x:row r="17" ht="51">
      <x:c r="F17" s="8" t="s">
        <x:v>61</x:v>
      </x:c>
      <x:c r="G17" s="12" t="n">
        <x:f>liquidity_metrics!H5-liquidity_metrics!H4</x:f>
        <x:v>0.19261563211302923</x:v>
      </x:c>
      <x:c r="H17" s="12" t="n">
        <x:f>liquidity_metrics!N5-liquidity_metrics!N4</x:f>
        <x:v>0.20229861357348466</x:v>
      </x:c>
    </x:row>
    <x:row r="18" ht="51">
      <x:c r="F18" s="8" t="s">
        <x:v>62</x:v>
      </x:c>
      <x:c r="G18" s="13" t="n">
        <x:f>liquidity_metrics!H7-liquidity_metrics!H6</x:f>
        <x:v>-0.49482618324053096</x:v>
      </x:c>
      <x:c r="H18" s="13" t="n">
        <x:f>liquidity_metrics!N7-liquidity_metrics!N6</x:f>
        <x:v>-0.4892293029158843</x:v>
      </x:c>
    </x:row>
  </x:sheetData>
  <x:mergeCells>
    <x:mergeCell ref="F1:T1"/>
  </x:mergeCells>
  <x:pageMargins left="0.7" right="0.7" top="0.75" bottom="0.75" header="0.3" footer="0.3"/>
  <x:drawing xmlns:r="http://schemas.openxmlformats.org/officeDocument/2006/relationships" r:id="R777fb1b656f44f6f"/>
</x:worksheet>
</file>