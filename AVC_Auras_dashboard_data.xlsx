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42729b436b3f9db0/桌面/奇鋐專案/avc_auras_streamlit_dashboard/data/"/>
    </mc:Choice>
  </mc:AlternateContent>
  <xr:revisionPtr revIDLastSave="1" documentId="11_40BFBA6AA063F7BA2A32CE02CE0DEF49780B3591" xr6:coauthVersionLast="47" xr6:coauthVersionMax="47" xr10:uidLastSave="{9A7EFE35-1EF0-4A40-9ABF-0D0D8A3A15C1}"/>
  <bookViews>
    <workbookView xWindow="-110" yWindow="-110" windowWidth="19420" windowHeight="10300" xr2:uid="{00000000-000D-0000-FFFF-FFFF00000000}"/>
  </bookViews>
  <sheets>
    <sheet name="raw_financials" sheetId="1" r:id="rId1"/>
    <sheet name="profitability_metrics" sheetId="2" r:id="rId2"/>
    <sheet name="liquidity_metrics" sheetId="3" r:id="rId3"/>
    <sheet name="dashboard" sheetId="4" r:id="rId4"/>
  </sheets>
  <calcPr calcId="191029"/>
</workbook>
</file>

<file path=xl/calcChain.xml><?xml version="1.0" encoding="utf-8"?>
<calcChain xmlns="http://schemas.openxmlformats.org/spreadsheetml/2006/main">
  <c r="M7" i="3" l="1"/>
  <c r="L7" i="3"/>
  <c r="K7" i="3"/>
  <c r="G7" i="3"/>
  <c r="F7" i="3"/>
  <c r="E7" i="3"/>
  <c r="D7" i="3"/>
  <c r="M6" i="3"/>
  <c r="L6" i="3"/>
  <c r="K6" i="3"/>
  <c r="G6" i="3"/>
  <c r="F6" i="3"/>
  <c r="E6" i="3"/>
  <c r="D6" i="3"/>
  <c r="M5" i="3"/>
  <c r="L5" i="3"/>
  <c r="K5" i="3"/>
  <c r="G5" i="3"/>
  <c r="F5" i="3"/>
  <c r="E5" i="3"/>
  <c r="I5" i="3" s="1"/>
  <c r="D5" i="3"/>
  <c r="N5" i="3" s="1"/>
  <c r="M4" i="3"/>
  <c r="L4" i="3"/>
  <c r="K4" i="3"/>
  <c r="G4" i="3"/>
  <c r="F4" i="3"/>
  <c r="I4" i="3" s="1"/>
  <c r="E4" i="3"/>
  <c r="D4" i="3"/>
  <c r="H4" i="3" s="1"/>
  <c r="B3" i="4" s="1"/>
  <c r="M3" i="3"/>
  <c r="L3" i="3"/>
  <c r="K3" i="3"/>
  <c r="G3" i="3"/>
  <c r="F3" i="3"/>
  <c r="I3" i="3" s="1"/>
  <c r="E3" i="3"/>
  <c r="D3" i="3"/>
  <c r="J3" i="3" s="1"/>
  <c r="M2" i="3"/>
  <c r="L2" i="3"/>
  <c r="K2" i="3"/>
  <c r="G2" i="3"/>
  <c r="F2" i="3"/>
  <c r="E2" i="3"/>
  <c r="J2" i="3" s="1"/>
  <c r="D2" i="3"/>
  <c r="H7" i="2"/>
  <c r="G7" i="2"/>
  <c r="K7" i="2" s="1"/>
  <c r="F7" i="2"/>
  <c r="E7" i="2"/>
  <c r="D7" i="2"/>
  <c r="H6" i="2"/>
  <c r="G6" i="2"/>
  <c r="F6" i="2"/>
  <c r="E6" i="2"/>
  <c r="D6" i="2"/>
  <c r="H5" i="2"/>
  <c r="G5" i="2"/>
  <c r="F5" i="2"/>
  <c r="E5" i="2"/>
  <c r="I5" i="2" s="1"/>
  <c r="D5" i="2"/>
  <c r="H4" i="2"/>
  <c r="G4" i="2"/>
  <c r="K4" i="2" s="1"/>
  <c r="F4" i="2"/>
  <c r="J4" i="2" s="1"/>
  <c r="E4" i="2"/>
  <c r="I4" i="2" s="1"/>
  <c r="D4" i="2"/>
  <c r="H3" i="2"/>
  <c r="G3" i="2"/>
  <c r="K3" i="2" s="1"/>
  <c r="F3" i="2"/>
  <c r="E3" i="2"/>
  <c r="D3" i="2"/>
  <c r="H2" i="2"/>
  <c r="G2" i="2"/>
  <c r="F2" i="2"/>
  <c r="E2" i="2"/>
  <c r="D2" i="2"/>
  <c r="I2" i="2" l="1"/>
  <c r="J2" i="2"/>
  <c r="K5" i="2"/>
  <c r="I7" i="2"/>
  <c r="H3" i="3"/>
  <c r="C2" i="4" s="1"/>
  <c r="K2" i="2"/>
  <c r="J7" i="2"/>
  <c r="N2" i="3"/>
  <c r="B8" i="4" s="1"/>
  <c r="H7" i="3"/>
  <c r="I6" i="2"/>
  <c r="J6" i="3"/>
  <c r="I7" i="3"/>
  <c r="I3" i="2"/>
  <c r="J6" i="2"/>
  <c r="I6" i="3"/>
  <c r="J3" i="2"/>
  <c r="K6" i="2"/>
  <c r="H2" i="3"/>
  <c r="B2" i="4" s="1"/>
  <c r="J5" i="2"/>
  <c r="I2" i="3"/>
  <c r="C4" i="4"/>
  <c r="C9" i="4"/>
  <c r="J4" i="3"/>
  <c r="N3" i="3"/>
  <c r="H5" i="3"/>
  <c r="J7" i="3"/>
  <c r="N6" i="3"/>
  <c r="B10" i="4" s="1"/>
  <c r="G16" i="4"/>
  <c r="J5" i="3"/>
  <c r="N4" i="3"/>
  <c r="B9" i="4" s="1"/>
  <c r="H6" i="3"/>
  <c r="B4" i="4" s="1"/>
  <c r="N7" i="3"/>
  <c r="G17" i="4" l="1"/>
  <c r="C3" i="4"/>
  <c r="H17" i="4"/>
  <c r="C8" i="4"/>
  <c r="H16" i="4"/>
  <c r="H18" i="4"/>
  <c r="C10" i="4"/>
  <c r="G18" i="4"/>
</calcChain>
</file>

<file path=xl/sharedStrings.xml><?xml version="1.0" encoding="utf-8"?>
<sst xmlns="http://schemas.openxmlformats.org/spreadsheetml/2006/main" count="619" uniqueCount="71">
  <si>
    <t>company</t>
  </si>
  <si>
    <t>scope</t>
  </si>
  <si>
    <t>year</t>
  </si>
  <si>
    <t>statement</t>
  </si>
  <si>
    <t>account</t>
  </si>
  <si>
    <t>value</t>
  </si>
  <si>
    <t>unit</t>
  </si>
  <si>
    <t>source_page</t>
  </si>
  <si>
    <t>source_file</t>
  </si>
  <si>
    <t>AVC</t>
  </si>
  <si>
    <t>Consolidated</t>
  </si>
  <si>
    <t>Balance Sheet</t>
  </si>
  <si>
    <t>Cash and Cash Equivalents</t>
  </si>
  <si>
    <t>TWD thousand</t>
  </si>
  <si>
    <t>p.5</t>
  </si>
  <si>
    <t>AVC_Consolidated_2025</t>
  </si>
  <si>
    <t>Inventory</t>
  </si>
  <si>
    <t>Current Assets</t>
  </si>
  <si>
    <t>Current Liabilities</t>
  </si>
  <si>
    <t>p.6</t>
  </si>
  <si>
    <t>Total Assets</t>
  </si>
  <si>
    <t>Standalone</t>
  </si>
  <si>
    <t>p.4</t>
  </si>
  <si>
    <t>AVC_Standalone_2025</t>
  </si>
  <si>
    <t>Auras</t>
  </si>
  <si>
    <t>p.11</t>
  </si>
  <si>
    <t>Auras_Consolidated_2025</t>
  </si>
  <si>
    <t>p.12</t>
  </si>
  <si>
    <t>Prepayments</t>
  </si>
  <si>
    <t>Other Current Assets</t>
  </si>
  <si>
    <t>Income Statement</t>
  </si>
  <si>
    <t>Revenue</t>
  </si>
  <si>
    <t>p.7</t>
  </si>
  <si>
    <t>Gross Profit</t>
  </si>
  <si>
    <t>Operating Profit</t>
  </si>
  <si>
    <t>Net Income Attributable to Parent</t>
  </si>
  <si>
    <t>Basic EPS</t>
  </si>
  <si>
    <t>TWD per share</t>
  </si>
  <si>
    <t>p.13</t>
  </si>
  <si>
    <t>revenue</t>
  </si>
  <si>
    <t>gross_profit</t>
  </si>
  <si>
    <t>operating_profit</t>
  </si>
  <si>
    <t>net_income_parent</t>
  </si>
  <si>
    <t>basic_eps</t>
  </si>
  <si>
    <t>gross_margin</t>
  </si>
  <si>
    <t>operating_margin</t>
  </si>
  <si>
    <t>net_margin_parent</t>
  </si>
  <si>
    <t>current_assets</t>
  </si>
  <si>
    <t>current_liabilities</t>
  </si>
  <si>
    <t>cash</t>
  </si>
  <si>
    <t>total_assets</t>
  </si>
  <si>
    <t>current_ratio</t>
  </si>
  <si>
    <t>cash_ratio</t>
  </si>
  <si>
    <t>nwc_to_assets</t>
  </si>
  <si>
    <t>inventory</t>
  </si>
  <si>
    <t>prepayments</t>
  </si>
  <si>
    <t>other_current_assets</t>
  </si>
  <si>
    <t>quick_ratio</t>
  </si>
  <si>
    <t>Entity</t>
  </si>
  <si>
    <t>Liquidity Dashboard
AVC Standalone vs. Consolidated and Peer Benchmarking</t>
  </si>
  <si>
    <t>AVC Consolidated</t>
  </si>
  <si>
    <t>AVC Standalone</t>
  </si>
  <si>
    <t>Auras Consolidated</t>
  </si>
  <si>
    <t>Current Ratio Change</t>
  </si>
  <si>
    <t>Quick Ratio Change</t>
  </si>
  <si>
    <t>Accounts Receivable</t>
  </si>
  <si>
    <t>Net Income</t>
  </si>
  <si>
    <t>Cash Flow Statement</t>
  </si>
  <si>
    <t>Operating Cash Flow</t>
  </si>
  <si>
    <t>p.9</t>
  </si>
  <si>
    <t>Capital 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</si>
</sst>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43" formatCode="_-* #,##0.00_-;\-* #,##0.00_-;_-* &quot;-&quot;??_-;_-@_-"/>
  </numFmts>
  <fonts count="8">
    <font>
      <sz val="12"/>
      <color theme="1"/>
      <name val="新細明體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0"/>
      <color theme="1"/>
      <name val="Arial Unicode MS"/>
    </font>
    <font>
      <sz val="10"/>
      <color theme="9"/>
      <name val="Arial Unicode MS"/>
    </font>
    <font>
      <sz val="10"/>
      <color rgb="FFFF0000"/>
      <name val="Arial Unicode MS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</fonts>
  <fills count="3">
    <fill>
      <patternFill patternType="none"/>
    </fill>
    <fill>
      <patternFill patternType="gray125"/>
    </fill>
    <fill>
      <patternFill patternType="solid">
        <fgColor theme="7" tint="0.79995117038483843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>
      <alignment vertical="center"/>
    </xf>
    <xf numFmtId="41" fontId="1" fillId="0" borderId="0" xfId="1" applyNumberFormat="1" applyFont="1">
      <alignment vertical="center"/>
    </xf>
    <xf numFmtId="41" fontId="0" fillId="0" borderId="0" xfId="1" applyNumberFormat="1" applyFont="1" applyAlignment="1">
      <alignment horizontal="left" vertical="center"/>
    </xf>
    <xf numFmtId="10" fontId="1" fillId="0" borderId="0" xfId="2" applyNumberFormat="1" applyFont="1">
      <alignment vertical="center"/>
    </xf>
    <xf numFmtId="10" fontId="0" fillId="0" borderId="0" xfId="2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</cellXfs>
  <cellStyles count="3">
    <cellStyle name="一般" xfId="0" builtinId="0"/>
    <cellStyle name="千分位" xfId="1" xr:uid="{00000000-0005-0000-0000-000001000000}"/>
    <cellStyle name="百分比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Current Ratio Comparison (2024–2025)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dashboard!$A$2:$A$4</c:f>
              <c:strCache>
                <c:ptCount val="3"/>
                <c:pt idx="0">
                  <c:v>AVC Consolidated</c:v>
                </c:pt>
                <c:pt idx="1">
                  <c:v>AVC Standalone</c:v>
                </c:pt>
                <c:pt idx="2">
                  <c:v>Auras Consolidated</c:v>
                </c:pt>
              </c:strCache>
            </c:strRef>
          </c:cat>
          <c:val>
            <c:numRef>
              <c:f>dashboard!$B$2:$B$4</c:f>
              <c:numCache>
                <c:formatCode>General</c:formatCode>
                <c:ptCount val="3"/>
                <c:pt idx="0">
                  <c:v>1.3054521087193642</c:v>
                </c:pt>
                <c:pt idx="1">
                  <c:v>1.1606089746778696</c:v>
                </c:pt>
                <c:pt idx="2">
                  <c:v>1.9790857006914668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105-4BB7-BD35-D355AEEB9A61}"/>
            </c:ext>
          </c:extLst>
        </c:ser>
        <c:ser>
          <c:idx val="1"/>
          <c:order val="1"/>
          <c:tx>
            <c:strRef>
              <c:f>dashboard!$C$1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dashboard!$A$2:$A$4</c:f>
              <c:strCache>
                <c:ptCount val="3"/>
                <c:pt idx="0">
                  <c:v>AVC Consolidated</c:v>
                </c:pt>
                <c:pt idx="1">
                  <c:v>AVC Standalone</c:v>
                </c:pt>
                <c:pt idx="2">
                  <c:v>Auras Consolidated</c:v>
                </c:pt>
              </c:strCache>
            </c:strRef>
          </c:cat>
          <c:val>
            <c:numRef>
              <c:f>dashboard!$C$2:$C$4</c:f>
              <c:numCache>
                <c:formatCode>General</c:formatCode>
                <c:ptCount val="3"/>
                <c:pt idx="0">
                  <c:v>1.2941763375997835</c:v>
                </c:pt>
                <c:pt idx="1">
                  <c:v>1.3532246067908988</c:v>
                </c:pt>
                <c:pt idx="2">
                  <c:v>1.4842595174509359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105-4BB7-BD35-D355AEEB9A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TW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2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TW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zh-TW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Quick Ratio Comparison (2024–2025)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dashboard!$A$8:$A$10</c:f>
              <c:strCache>
                <c:ptCount val="3"/>
                <c:pt idx="0">
                  <c:v>AVC Consolidated</c:v>
                </c:pt>
                <c:pt idx="1">
                  <c:v>AVC Standalone</c:v>
                </c:pt>
                <c:pt idx="2">
                  <c:v>Auras Consolidated</c:v>
                </c:pt>
              </c:strCache>
            </c:strRef>
          </c:cat>
          <c:val>
            <c:numRef>
              <c:f>dashboard!$B$8:$B$10</c:f>
              <c:numCache>
                <c:formatCode>General</c:formatCode>
                <c:ptCount val="3"/>
                <c:pt idx="0">
                  <c:v>0.6914895153774544</c:v>
                </c:pt>
                <c:pt idx="1">
                  <c:v>0.52799588637406103</c:v>
                </c:pt>
                <c:pt idx="2">
                  <c:v>1.4225376741714528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559-4306-AFD1-25F41857D0E6}"/>
            </c:ext>
          </c:extLst>
        </c:ser>
        <c:ser>
          <c:idx val="1"/>
          <c:order val="1"/>
          <c:tx>
            <c:strRef>
              <c:f>dashboard!$C$7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dashboard!$A$8:$A$10</c:f>
              <c:strCache>
                <c:ptCount val="3"/>
                <c:pt idx="0">
                  <c:v>AVC Consolidated</c:v>
                </c:pt>
                <c:pt idx="1">
                  <c:v>AVC Standalone</c:v>
                </c:pt>
                <c:pt idx="2">
                  <c:v>Auras Consolidated</c:v>
                </c:pt>
              </c:strCache>
            </c:strRef>
          </c:cat>
          <c:val>
            <c:numRef>
              <c:f>dashboard!$C$8:$C$10</c:f>
              <c:numCache>
                <c:formatCode>General</c:formatCode>
                <c:ptCount val="3"/>
                <c:pt idx="0">
                  <c:v>0.75546094894428784</c:v>
                </c:pt>
                <c:pt idx="1">
                  <c:v>0.73029449994754569</c:v>
                </c:pt>
                <c:pt idx="2">
                  <c:v>0.93330837125556854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559-4306-AFD1-25F41857D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TW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TW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zh-TW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212725</xdr:rowOff>
    </xdr:from>
    <xdr:to>
      <xdr:col>12</xdr:col>
      <xdr:colOff>304800</xdr:colOff>
      <xdr:row>12</xdr:row>
      <xdr:rowOff>149225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444500</xdr:colOff>
      <xdr:row>2</xdr:row>
      <xdr:rowOff>3175</xdr:rowOff>
    </xdr:from>
    <xdr:to>
      <xdr:col>20</xdr:col>
      <xdr:colOff>139700</xdr:colOff>
      <xdr:row>12</xdr:row>
      <xdr:rowOff>155575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abSelected="1" topLeftCell="A64" workbookViewId="0">
      <selection activeCell="K73" sqref="K73"/>
    </sheetView>
  </sheetViews>
  <sheetFormatPr defaultRowHeight="17"/>
  <cols>
    <col min="1" max="1" width="8.7265625" style="2"/>
    <col min="2" max="2" width="17.453125" style="2" customWidth="1"/>
    <col min="3" max="3" width="8.81640625" style="2" customWidth="1"/>
    <col min="4" max="4" width="13" style="2" customWidth="1"/>
    <col min="5" max="5" width="25.7265625" style="2" customWidth="1"/>
    <col min="6" max="6" width="12.26953125" style="2" customWidth="1"/>
    <col min="7" max="7" width="19.54296875" style="2" customWidth="1"/>
    <col min="8" max="8" width="16.08984375" style="2" customWidth="1"/>
    <col min="9" max="9" width="23.1796875" style="2" customWidth="1"/>
    <col min="10" max="16384" width="8.7265625" style="2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3" t="s">
        <v>9</v>
      </c>
      <c r="B2" s="3" t="s">
        <v>10</v>
      </c>
      <c r="C2" s="3">
        <v>2024</v>
      </c>
      <c r="D2" s="3" t="s">
        <v>11</v>
      </c>
      <c r="E2" s="3" t="s">
        <v>12</v>
      </c>
      <c r="F2" s="3">
        <v>29923508</v>
      </c>
      <c r="G2" s="3" t="s">
        <v>13</v>
      </c>
      <c r="H2" s="3" t="s">
        <v>14</v>
      </c>
      <c r="I2" s="3" t="s">
        <v>15</v>
      </c>
    </row>
    <row r="3" spans="1:9">
      <c r="A3" s="3" t="s">
        <v>9</v>
      </c>
      <c r="B3" s="3" t="s">
        <v>10</v>
      </c>
      <c r="C3" s="3">
        <v>2025</v>
      </c>
      <c r="D3" s="3" t="s">
        <v>11</v>
      </c>
      <c r="E3" s="3" t="s">
        <v>12</v>
      </c>
      <c r="F3" s="3">
        <v>58529798</v>
      </c>
      <c r="G3" s="3" t="s">
        <v>13</v>
      </c>
      <c r="H3" s="3" t="s">
        <v>14</v>
      </c>
      <c r="I3" s="2" t="s">
        <v>15</v>
      </c>
    </row>
    <row r="4" spans="1:9">
      <c r="A4" s="3" t="s">
        <v>9</v>
      </c>
      <c r="B4" s="3" t="s">
        <v>10</v>
      </c>
      <c r="C4" s="3">
        <v>2024</v>
      </c>
      <c r="D4" s="3" t="s">
        <v>11</v>
      </c>
      <c r="E4" s="3" t="s">
        <v>16</v>
      </c>
      <c r="F4" s="3">
        <v>33397345</v>
      </c>
      <c r="G4" s="3" t="s">
        <v>13</v>
      </c>
      <c r="H4" s="3" t="s">
        <v>14</v>
      </c>
      <c r="I4" s="3" t="s">
        <v>15</v>
      </c>
    </row>
    <row r="5" spans="1:9">
      <c r="A5" s="3" t="s">
        <v>9</v>
      </c>
      <c r="B5" s="3" t="s">
        <v>10</v>
      </c>
      <c r="C5" s="3">
        <v>2025</v>
      </c>
      <c r="D5" s="3" t="s">
        <v>11</v>
      </c>
      <c r="E5" s="3" t="s">
        <v>16</v>
      </c>
      <c r="F5" s="3">
        <v>49572264</v>
      </c>
      <c r="G5" s="3" t="s">
        <v>13</v>
      </c>
      <c r="H5" s="3" t="s">
        <v>14</v>
      </c>
      <c r="I5" s="2" t="s">
        <v>15</v>
      </c>
    </row>
    <row r="6" spans="1:9">
      <c r="A6" s="3" t="s">
        <v>9</v>
      </c>
      <c r="B6" s="3" t="s">
        <v>10</v>
      </c>
      <c r="C6" s="3">
        <v>2024</v>
      </c>
      <c r="D6" s="3" t="s">
        <v>11</v>
      </c>
      <c r="E6" s="3" t="s">
        <v>17</v>
      </c>
      <c r="F6" s="3">
        <v>76092357</v>
      </c>
      <c r="G6" s="3" t="s">
        <v>13</v>
      </c>
      <c r="H6" s="3" t="s">
        <v>14</v>
      </c>
      <c r="I6" s="3" t="s">
        <v>15</v>
      </c>
    </row>
    <row r="7" spans="1:9">
      <c r="A7" s="3" t="s">
        <v>9</v>
      </c>
      <c r="B7" s="3" t="s">
        <v>10</v>
      </c>
      <c r="C7" s="3">
        <v>2025</v>
      </c>
      <c r="D7" s="3" t="s">
        <v>11</v>
      </c>
      <c r="E7" s="3" t="s">
        <v>17</v>
      </c>
      <c r="F7" s="3">
        <v>126176263</v>
      </c>
      <c r="G7" s="3" t="s">
        <v>13</v>
      </c>
      <c r="H7" s="3" t="s">
        <v>14</v>
      </c>
      <c r="I7" s="2" t="s">
        <v>15</v>
      </c>
    </row>
    <row r="8" spans="1:9">
      <c r="A8" s="3" t="s">
        <v>9</v>
      </c>
      <c r="B8" s="3" t="s">
        <v>10</v>
      </c>
      <c r="C8" s="3">
        <v>2024</v>
      </c>
      <c r="D8" s="3" t="s">
        <v>11</v>
      </c>
      <c r="E8" s="3" t="s">
        <v>18</v>
      </c>
      <c r="F8" s="3">
        <v>58288126</v>
      </c>
      <c r="G8" s="3" t="s">
        <v>13</v>
      </c>
      <c r="H8" s="3" t="s">
        <v>19</v>
      </c>
      <c r="I8" s="3" t="s">
        <v>15</v>
      </c>
    </row>
    <row r="9" spans="1:9">
      <c r="A9" s="3" t="s">
        <v>9</v>
      </c>
      <c r="B9" s="3" t="s">
        <v>10</v>
      </c>
      <c r="C9" s="3">
        <v>2025</v>
      </c>
      <c r="D9" s="3" t="s">
        <v>11</v>
      </c>
      <c r="E9" s="3" t="s">
        <v>18</v>
      </c>
      <c r="F9" s="3">
        <v>97495418</v>
      </c>
      <c r="G9" s="3" t="s">
        <v>13</v>
      </c>
      <c r="H9" s="3" t="s">
        <v>19</v>
      </c>
      <c r="I9" s="2" t="s">
        <v>15</v>
      </c>
    </row>
    <row r="10" spans="1:9">
      <c r="A10" s="3" t="s">
        <v>9</v>
      </c>
      <c r="B10" s="3" t="s">
        <v>10</v>
      </c>
      <c r="C10" s="3">
        <v>2024</v>
      </c>
      <c r="D10" s="3" t="s">
        <v>11</v>
      </c>
      <c r="E10" s="3" t="s">
        <v>20</v>
      </c>
      <c r="F10" s="3">
        <v>99905561</v>
      </c>
      <c r="G10" s="3" t="s">
        <v>13</v>
      </c>
      <c r="H10" s="3" t="s">
        <v>14</v>
      </c>
      <c r="I10" s="3" t="s">
        <v>15</v>
      </c>
    </row>
    <row r="11" spans="1:9">
      <c r="A11" s="3" t="s">
        <v>9</v>
      </c>
      <c r="B11" s="3" t="s">
        <v>10</v>
      </c>
      <c r="C11" s="3">
        <v>2025</v>
      </c>
      <c r="D11" s="3" t="s">
        <v>11</v>
      </c>
      <c r="E11" s="3" t="s">
        <v>20</v>
      </c>
      <c r="F11" s="3">
        <v>160136525</v>
      </c>
      <c r="G11" s="3" t="s">
        <v>13</v>
      </c>
      <c r="H11" s="3" t="s">
        <v>14</v>
      </c>
      <c r="I11" s="2" t="s">
        <v>15</v>
      </c>
    </row>
    <row r="12" spans="1:9" s="5" customFormat="1">
      <c r="A12" s="4" t="s">
        <v>9</v>
      </c>
      <c r="B12" s="4" t="s">
        <v>21</v>
      </c>
      <c r="C12" s="4">
        <v>2024</v>
      </c>
      <c r="D12" s="4" t="s">
        <v>11</v>
      </c>
      <c r="E12" s="4" t="s">
        <v>12</v>
      </c>
      <c r="F12" s="4">
        <v>13257003</v>
      </c>
      <c r="G12" s="4" t="s">
        <v>13</v>
      </c>
      <c r="H12" s="4" t="s">
        <v>22</v>
      </c>
      <c r="I12" s="6" t="s">
        <v>23</v>
      </c>
    </row>
    <row r="13" spans="1:9">
      <c r="A13" s="3" t="s">
        <v>9</v>
      </c>
      <c r="B13" s="3" t="s">
        <v>21</v>
      </c>
      <c r="C13" s="3">
        <v>2025</v>
      </c>
      <c r="D13" s="3" t="s">
        <v>11</v>
      </c>
      <c r="E13" s="3" t="s">
        <v>12</v>
      </c>
      <c r="F13" s="3">
        <v>34150617</v>
      </c>
      <c r="G13" s="3" t="s">
        <v>13</v>
      </c>
      <c r="H13" s="3" t="s">
        <v>22</v>
      </c>
      <c r="I13" s="6" t="s">
        <v>23</v>
      </c>
    </row>
    <row r="14" spans="1:9">
      <c r="A14" s="3" t="s">
        <v>9</v>
      </c>
      <c r="B14" s="3" t="s">
        <v>21</v>
      </c>
      <c r="C14" s="3">
        <v>2024</v>
      </c>
      <c r="D14" s="3" t="s">
        <v>11</v>
      </c>
      <c r="E14" s="3" t="s">
        <v>16</v>
      </c>
      <c r="F14" s="3">
        <v>21900717</v>
      </c>
      <c r="G14" s="3" t="s">
        <v>13</v>
      </c>
      <c r="H14" s="3" t="s">
        <v>22</v>
      </c>
      <c r="I14" s="6" t="s">
        <v>23</v>
      </c>
    </row>
    <row r="15" spans="1:9">
      <c r="A15" s="3" t="s">
        <v>9</v>
      </c>
      <c r="B15" s="3" t="s">
        <v>21</v>
      </c>
      <c r="C15" s="3">
        <v>2025</v>
      </c>
      <c r="D15" s="3" t="s">
        <v>11</v>
      </c>
      <c r="E15" s="3" t="s">
        <v>16</v>
      </c>
      <c r="F15" s="3">
        <v>36915146</v>
      </c>
      <c r="G15" s="3" t="s">
        <v>13</v>
      </c>
      <c r="H15" s="3" t="s">
        <v>22</v>
      </c>
      <c r="I15" s="6" t="s">
        <v>23</v>
      </c>
    </row>
    <row r="16" spans="1:9">
      <c r="A16" s="3" t="s">
        <v>9</v>
      </c>
      <c r="B16" s="3" t="s">
        <v>21</v>
      </c>
      <c r="C16" s="3">
        <v>2024</v>
      </c>
      <c r="D16" s="3" t="s">
        <v>11</v>
      </c>
      <c r="E16" s="3" t="s">
        <v>17</v>
      </c>
      <c r="F16" s="3">
        <v>40244122</v>
      </c>
      <c r="G16" s="3" t="s">
        <v>13</v>
      </c>
      <c r="H16" s="3" t="s">
        <v>22</v>
      </c>
      <c r="I16" s="6" t="s">
        <v>23</v>
      </c>
    </row>
    <row r="17" spans="1:9">
      <c r="A17" s="3" t="s">
        <v>9</v>
      </c>
      <c r="B17" s="3" t="s">
        <v>21</v>
      </c>
      <c r="C17" s="3">
        <v>2025</v>
      </c>
      <c r="D17" s="3" t="s">
        <v>11</v>
      </c>
      <c r="E17" s="3" t="s">
        <v>17</v>
      </c>
      <c r="F17" s="3">
        <v>80361338</v>
      </c>
      <c r="G17" s="3" t="s">
        <v>13</v>
      </c>
      <c r="H17" s="3" t="s">
        <v>22</v>
      </c>
      <c r="I17" s="6" t="s">
        <v>23</v>
      </c>
    </row>
    <row r="18" spans="1:9">
      <c r="A18" s="3" t="s">
        <v>9</v>
      </c>
      <c r="B18" s="3" t="s">
        <v>21</v>
      </c>
      <c r="C18" s="3">
        <v>2024</v>
      </c>
      <c r="D18" s="3" t="s">
        <v>11</v>
      </c>
      <c r="E18" s="3" t="s">
        <v>18</v>
      </c>
      <c r="F18" s="3">
        <v>34675005</v>
      </c>
      <c r="G18" s="3" t="s">
        <v>13</v>
      </c>
      <c r="H18" s="3" t="s">
        <v>14</v>
      </c>
      <c r="I18" s="6" t="s">
        <v>23</v>
      </c>
    </row>
    <row r="19" spans="1:9">
      <c r="A19" s="3" t="s">
        <v>9</v>
      </c>
      <c r="B19" s="3" t="s">
        <v>21</v>
      </c>
      <c r="C19" s="3">
        <v>2025</v>
      </c>
      <c r="D19" s="3" t="s">
        <v>11</v>
      </c>
      <c r="E19" s="3" t="s">
        <v>18</v>
      </c>
      <c r="F19" s="3">
        <v>59385070</v>
      </c>
      <c r="G19" s="3" t="s">
        <v>13</v>
      </c>
      <c r="H19" s="3" t="s">
        <v>14</v>
      </c>
      <c r="I19" s="6" t="s">
        <v>23</v>
      </c>
    </row>
    <row r="20" spans="1:9">
      <c r="A20" s="3" t="s">
        <v>9</v>
      </c>
      <c r="B20" s="3" t="s">
        <v>21</v>
      </c>
      <c r="C20" s="3">
        <v>2024</v>
      </c>
      <c r="D20" s="3" t="s">
        <v>11</v>
      </c>
      <c r="E20" s="3" t="s">
        <v>20</v>
      </c>
      <c r="F20" s="3">
        <v>68223791</v>
      </c>
      <c r="G20" s="3" t="s">
        <v>13</v>
      </c>
      <c r="H20" s="3" t="s">
        <v>22</v>
      </c>
      <c r="I20" s="6" t="s">
        <v>23</v>
      </c>
    </row>
    <row r="21" spans="1:9">
      <c r="A21" s="3" t="s">
        <v>9</v>
      </c>
      <c r="B21" s="3" t="s">
        <v>21</v>
      </c>
      <c r="C21" s="3">
        <v>2025</v>
      </c>
      <c r="D21" s="3" t="s">
        <v>11</v>
      </c>
      <c r="E21" s="3" t="s">
        <v>20</v>
      </c>
      <c r="F21" s="3">
        <v>112556283</v>
      </c>
      <c r="G21" s="3" t="s">
        <v>13</v>
      </c>
      <c r="H21" s="3" t="s">
        <v>22</v>
      </c>
      <c r="I21" s="6" t="s">
        <v>23</v>
      </c>
    </row>
    <row r="22" spans="1:9" s="5" customFormat="1" ht="11" customHeight="1">
      <c r="A22" s="4" t="s">
        <v>24</v>
      </c>
      <c r="B22" s="4" t="s">
        <v>10</v>
      </c>
      <c r="C22" s="4">
        <v>2024</v>
      </c>
      <c r="D22" s="4" t="s">
        <v>11</v>
      </c>
      <c r="E22" s="4" t="s">
        <v>12</v>
      </c>
      <c r="F22" s="4">
        <v>2808811</v>
      </c>
      <c r="G22" s="4" t="s">
        <v>13</v>
      </c>
      <c r="H22" s="4" t="s">
        <v>25</v>
      </c>
      <c r="I22" s="6" t="s">
        <v>26</v>
      </c>
    </row>
    <row r="23" spans="1:9">
      <c r="A23" s="3" t="s">
        <v>24</v>
      </c>
      <c r="B23" s="3" t="s">
        <v>10</v>
      </c>
      <c r="C23" s="3">
        <v>2025</v>
      </c>
      <c r="D23" s="3" t="s">
        <v>11</v>
      </c>
      <c r="E23" s="3" t="s">
        <v>12</v>
      </c>
      <c r="F23" s="3">
        <v>1438936</v>
      </c>
      <c r="G23" s="3" t="s">
        <v>13</v>
      </c>
      <c r="H23" s="3" t="s">
        <v>25</v>
      </c>
      <c r="I23" s="6" t="s">
        <v>26</v>
      </c>
    </row>
    <row r="24" spans="1:9">
      <c r="A24" s="3" t="s">
        <v>24</v>
      </c>
      <c r="B24" s="3" t="s">
        <v>10</v>
      </c>
      <c r="C24" s="3">
        <v>2024</v>
      </c>
      <c r="D24" s="3" t="s">
        <v>11</v>
      </c>
      <c r="E24" s="3" t="s">
        <v>16</v>
      </c>
      <c r="F24" s="3">
        <v>2809505</v>
      </c>
      <c r="G24" s="3" t="s">
        <v>13</v>
      </c>
      <c r="H24" s="3" t="s">
        <v>25</v>
      </c>
      <c r="I24" s="6" t="s">
        <v>26</v>
      </c>
    </row>
    <row r="25" spans="1:9">
      <c r="A25" s="3" t="s">
        <v>24</v>
      </c>
      <c r="B25" s="3" t="s">
        <v>10</v>
      </c>
      <c r="C25" s="3">
        <v>2025</v>
      </c>
      <c r="D25" s="3" t="s">
        <v>11</v>
      </c>
      <c r="E25" s="3" t="s">
        <v>16</v>
      </c>
      <c r="F25" s="3">
        <v>6057435</v>
      </c>
      <c r="G25" s="3" t="s">
        <v>13</v>
      </c>
      <c r="H25" s="3" t="s">
        <v>25</v>
      </c>
      <c r="I25" s="6" t="s">
        <v>26</v>
      </c>
    </row>
    <row r="26" spans="1:9">
      <c r="A26" s="3" t="s">
        <v>24</v>
      </c>
      <c r="B26" s="3" t="s">
        <v>10</v>
      </c>
      <c r="C26" s="3">
        <v>2024</v>
      </c>
      <c r="D26" s="3" t="s">
        <v>11</v>
      </c>
      <c r="E26" s="3" t="s">
        <v>17</v>
      </c>
      <c r="F26" s="3">
        <v>11679883</v>
      </c>
      <c r="G26" s="3" t="s">
        <v>13</v>
      </c>
      <c r="H26" s="3" t="s">
        <v>25</v>
      </c>
      <c r="I26" s="6" t="s">
        <v>26</v>
      </c>
    </row>
    <row r="27" spans="1:9">
      <c r="A27" s="3" t="s">
        <v>24</v>
      </c>
      <c r="B27" s="3" t="s">
        <v>10</v>
      </c>
      <c r="C27" s="3">
        <v>2025</v>
      </c>
      <c r="D27" s="3" t="s">
        <v>11</v>
      </c>
      <c r="E27" s="3" t="s">
        <v>17</v>
      </c>
      <c r="F27" s="3">
        <v>18587376</v>
      </c>
      <c r="G27" s="3" t="s">
        <v>13</v>
      </c>
      <c r="H27" s="3" t="s">
        <v>25</v>
      </c>
      <c r="I27" s="6" t="s">
        <v>26</v>
      </c>
    </row>
    <row r="28" spans="1:9">
      <c r="A28" s="3" t="s">
        <v>24</v>
      </c>
      <c r="B28" s="3" t="s">
        <v>10</v>
      </c>
      <c r="C28" s="3">
        <v>2024</v>
      </c>
      <c r="D28" s="3" t="s">
        <v>11</v>
      </c>
      <c r="E28" s="3" t="s">
        <v>18</v>
      </c>
      <c r="F28" s="3">
        <v>5901656</v>
      </c>
      <c r="G28" s="3" t="s">
        <v>13</v>
      </c>
      <c r="H28" s="3" t="s">
        <v>27</v>
      </c>
      <c r="I28" s="6" t="s">
        <v>26</v>
      </c>
    </row>
    <row r="29" spans="1:9">
      <c r="A29" s="3" t="s">
        <v>24</v>
      </c>
      <c r="B29" s="3" t="s">
        <v>10</v>
      </c>
      <c r="C29" s="3">
        <v>2025</v>
      </c>
      <c r="D29" s="3" t="s">
        <v>11</v>
      </c>
      <c r="E29" s="3" t="s">
        <v>18</v>
      </c>
      <c r="F29" s="3">
        <v>12522996</v>
      </c>
      <c r="G29" s="3" t="s">
        <v>13</v>
      </c>
      <c r="H29" s="3" t="s">
        <v>27</v>
      </c>
      <c r="I29" s="6" t="s">
        <v>26</v>
      </c>
    </row>
    <row r="30" spans="1:9">
      <c r="A30" s="3" t="s">
        <v>24</v>
      </c>
      <c r="B30" s="3" t="s">
        <v>10</v>
      </c>
      <c r="C30" s="3">
        <v>2024</v>
      </c>
      <c r="D30" s="3" t="s">
        <v>11</v>
      </c>
      <c r="E30" s="3" t="s">
        <v>20</v>
      </c>
      <c r="F30" s="3">
        <v>16926376</v>
      </c>
      <c r="G30" s="3" t="s">
        <v>13</v>
      </c>
      <c r="H30" s="3" t="s">
        <v>25</v>
      </c>
      <c r="I30" s="6" t="s">
        <v>26</v>
      </c>
    </row>
    <row r="31" spans="1:9">
      <c r="A31" s="3" t="s">
        <v>24</v>
      </c>
      <c r="B31" s="3" t="s">
        <v>10</v>
      </c>
      <c r="C31" s="3">
        <v>2025</v>
      </c>
      <c r="D31" s="3" t="s">
        <v>11</v>
      </c>
      <c r="E31" s="3" t="s">
        <v>20</v>
      </c>
      <c r="F31" s="3">
        <v>26124609</v>
      </c>
      <c r="G31" s="3" t="s">
        <v>13</v>
      </c>
      <c r="H31" s="3" t="s">
        <v>25</v>
      </c>
      <c r="I31" s="6" t="s">
        <v>26</v>
      </c>
    </row>
    <row r="32" spans="1:9">
      <c r="A32" s="7" t="s">
        <v>9</v>
      </c>
      <c r="B32" s="7" t="s">
        <v>10</v>
      </c>
      <c r="C32" s="7">
        <v>2024</v>
      </c>
      <c r="D32" s="7" t="s">
        <v>11</v>
      </c>
      <c r="E32" s="7" t="s">
        <v>28</v>
      </c>
      <c r="F32" s="7">
        <v>751509</v>
      </c>
      <c r="G32" s="7" t="s">
        <v>13</v>
      </c>
      <c r="H32" s="7" t="s">
        <v>14</v>
      </c>
      <c r="I32" s="7" t="s">
        <v>15</v>
      </c>
    </row>
    <row r="33" spans="1:9">
      <c r="A33" s="7" t="s">
        <v>9</v>
      </c>
      <c r="B33" s="7" t="s">
        <v>10</v>
      </c>
      <c r="C33" s="7">
        <v>2025</v>
      </c>
      <c r="D33" s="7" t="s">
        <v>11</v>
      </c>
      <c r="E33" s="7" t="s">
        <v>28</v>
      </c>
      <c r="F33" s="7">
        <v>690460</v>
      </c>
      <c r="G33" s="7" t="s">
        <v>13</v>
      </c>
      <c r="H33" s="7" t="s">
        <v>14</v>
      </c>
      <c r="I33" s="7" t="s">
        <v>15</v>
      </c>
    </row>
    <row r="34" spans="1:9">
      <c r="A34" s="7" t="s">
        <v>9</v>
      </c>
      <c r="B34" s="7" t="s">
        <v>10</v>
      </c>
      <c r="C34" s="7">
        <v>2024</v>
      </c>
      <c r="D34" s="7" t="s">
        <v>11</v>
      </c>
      <c r="E34" s="7" t="s">
        <v>29</v>
      </c>
      <c r="F34" s="7">
        <v>1637875</v>
      </c>
      <c r="G34" s="7" t="s">
        <v>13</v>
      </c>
      <c r="H34" s="7" t="s">
        <v>14</v>
      </c>
      <c r="I34" s="7" t="s">
        <v>15</v>
      </c>
    </row>
    <row r="35" spans="1:9">
      <c r="A35" s="7" t="s">
        <v>9</v>
      </c>
      <c r="B35" s="7" t="s">
        <v>10</v>
      </c>
      <c r="C35" s="7">
        <v>2025</v>
      </c>
      <c r="D35" s="7" t="s">
        <v>11</v>
      </c>
      <c r="E35" s="7" t="s">
        <v>29</v>
      </c>
      <c r="F35" s="7">
        <v>2259558</v>
      </c>
      <c r="G35" s="7" t="s">
        <v>13</v>
      </c>
      <c r="H35" s="7" t="s">
        <v>14</v>
      </c>
      <c r="I35" s="7" t="s">
        <v>15</v>
      </c>
    </row>
    <row r="36" spans="1:9">
      <c r="A36" s="7" t="s">
        <v>9</v>
      </c>
      <c r="B36" s="7" t="s">
        <v>21</v>
      </c>
      <c r="C36" s="7">
        <v>2024</v>
      </c>
      <c r="D36" s="7" t="s">
        <v>11</v>
      </c>
      <c r="E36" s="7" t="s">
        <v>28</v>
      </c>
      <c r="F36" s="7">
        <v>28261</v>
      </c>
      <c r="G36" s="7" t="s">
        <v>13</v>
      </c>
      <c r="H36" s="7" t="s">
        <v>22</v>
      </c>
      <c r="I36" s="7" t="s">
        <v>23</v>
      </c>
    </row>
    <row r="37" spans="1:9">
      <c r="A37" s="7" t="s">
        <v>9</v>
      </c>
      <c r="B37" s="7" t="s">
        <v>21</v>
      </c>
      <c r="C37" s="7">
        <v>2025</v>
      </c>
      <c r="D37" s="7" t="s">
        <v>11</v>
      </c>
      <c r="E37" s="7" t="s">
        <v>28</v>
      </c>
      <c r="F37" s="7">
        <v>61180</v>
      </c>
      <c r="G37" s="7" t="s">
        <v>13</v>
      </c>
      <c r="H37" s="7" t="s">
        <v>22</v>
      </c>
      <c r="I37" s="7" t="s">
        <v>23</v>
      </c>
    </row>
    <row r="38" spans="1:9">
      <c r="A38" s="7" t="s">
        <v>9</v>
      </c>
      <c r="B38" s="7" t="s">
        <v>21</v>
      </c>
      <c r="C38" s="7">
        <v>2024</v>
      </c>
      <c r="D38" s="7" t="s">
        <v>11</v>
      </c>
      <c r="E38" s="7" t="s">
        <v>29</v>
      </c>
      <c r="F38" s="7">
        <v>6884</v>
      </c>
      <c r="G38" s="7" t="s">
        <v>13</v>
      </c>
      <c r="H38" s="7" t="s">
        <v>22</v>
      </c>
      <c r="I38" s="7" t="s">
        <v>23</v>
      </c>
    </row>
    <row r="39" spans="1:9">
      <c r="A39" s="7" t="s">
        <v>9</v>
      </c>
      <c r="B39" s="7" t="s">
        <v>21</v>
      </c>
      <c r="C39" s="7">
        <v>2025</v>
      </c>
      <c r="D39" s="7" t="s">
        <v>11</v>
      </c>
      <c r="E39" s="7" t="s">
        <v>29</v>
      </c>
      <c r="F39" s="7">
        <v>16422</v>
      </c>
      <c r="G39" s="7" t="s">
        <v>13</v>
      </c>
      <c r="H39" s="7" t="s">
        <v>22</v>
      </c>
      <c r="I39" s="7" t="s">
        <v>23</v>
      </c>
    </row>
    <row r="40" spans="1:9">
      <c r="A40" s="7" t="s">
        <v>24</v>
      </c>
      <c r="B40" s="7" t="s">
        <v>10</v>
      </c>
      <c r="C40" s="7">
        <v>2024</v>
      </c>
      <c r="D40" s="7" t="s">
        <v>11</v>
      </c>
      <c r="E40" s="7" t="s">
        <v>29</v>
      </c>
      <c r="F40" s="7">
        <v>475050</v>
      </c>
      <c r="G40" s="7" t="s">
        <v>13</v>
      </c>
      <c r="H40" s="7" t="s">
        <v>25</v>
      </c>
      <c r="I40" s="7" t="s">
        <v>26</v>
      </c>
    </row>
    <row r="41" spans="1:9">
      <c r="A41" s="7" t="s">
        <v>24</v>
      </c>
      <c r="B41" s="7" t="s">
        <v>10</v>
      </c>
      <c r="C41" s="7">
        <v>2025</v>
      </c>
      <c r="D41" s="7" t="s">
        <v>11</v>
      </c>
      <c r="E41" s="7" t="s">
        <v>29</v>
      </c>
      <c r="F41" s="7">
        <v>842124</v>
      </c>
      <c r="G41" s="7" t="s">
        <v>13</v>
      </c>
      <c r="H41" s="7" t="s">
        <v>25</v>
      </c>
      <c r="I41" s="7" t="s">
        <v>26</v>
      </c>
    </row>
    <row r="42" spans="1:9">
      <c r="A42" s="2" t="s">
        <v>9</v>
      </c>
      <c r="B42" s="2" t="s">
        <v>10</v>
      </c>
      <c r="C42" s="2">
        <v>2024</v>
      </c>
      <c r="D42" s="2" t="s">
        <v>30</v>
      </c>
      <c r="E42" s="2" t="s">
        <v>31</v>
      </c>
      <c r="F42" s="2">
        <v>71761296</v>
      </c>
      <c r="G42" s="2" t="s">
        <v>13</v>
      </c>
      <c r="H42" s="2" t="s">
        <v>32</v>
      </c>
      <c r="I42" s="2" t="s">
        <v>15</v>
      </c>
    </row>
    <row r="43" spans="1:9">
      <c r="A43" s="2" t="s">
        <v>9</v>
      </c>
      <c r="B43" s="2" t="s">
        <v>10</v>
      </c>
      <c r="C43" s="2">
        <v>2025</v>
      </c>
      <c r="D43" s="2" t="s">
        <v>30</v>
      </c>
      <c r="E43" s="2" t="s">
        <v>31</v>
      </c>
      <c r="F43" s="2">
        <v>139639362</v>
      </c>
      <c r="G43" s="2" t="s">
        <v>13</v>
      </c>
      <c r="H43" s="2" t="s">
        <v>32</v>
      </c>
      <c r="I43" s="2" t="s">
        <v>15</v>
      </c>
    </row>
    <row r="44" spans="1:9">
      <c r="A44" s="2" t="s">
        <v>9</v>
      </c>
      <c r="B44" s="2" t="s">
        <v>10</v>
      </c>
      <c r="C44" s="2">
        <v>2024</v>
      </c>
      <c r="D44" s="2" t="s">
        <v>30</v>
      </c>
      <c r="E44" s="2" t="s">
        <v>33</v>
      </c>
      <c r="F44" s="2">
        <v>16870441</v>
      </c>
      <c r="G44" s="2" t="s">
        <v>13</v>
      </c>
      <c r="H44" s="2" t="s">
        <v>32</v>
      </c>
      <c r="I44" s="2" t="s">
        <v>15</v>
      </c>
    </row>
    <row r="45" spans="1:9">
      <c r="A45" s="2" t="s">
        <v>9</v>
      </c>
      <c r="B45" s="2" t="s">
        <v>10</v>
      </c>
      <c r="C45" s="2">
        <v>2025</v>
      </c>
      <c r="D45" s="2" t="s">
        <v>30</v>
      </c>
      <c r="E45" s="2" t="s">
        <v>33</v>
      </c>
      <c r="F45" s="2">
        <v>36034003</v>
      </c>
      <c r="G45" s="2" t="s">
        <v>13</v>
      </c>
      <c r="H45" s="2" t="s">
        <v>32</v>
      </c>
      <c r="I45" s="2" t="s">
        <v>15</v>
      </c>
    </row>
    <row r="46" spans="1:9">
      <c r="A46" s="2" t="s">
        <v>9</v>
      </c>
      <c r="B46" s="2" t="s">
        <v>10</v>
      </c>
      <c r="C46" s="2">
        <v>2024</v>
      </c>
      <c r="D46" s="2" t="s">
        <v>30</v>
      </c>
      <c r="E46" s="2" t="s">
        <v>34</v>
      </c>
      <c r="F46" s="2">
        <v>10822659</v>
      </c>
      <c r="G46" s="2" t="s">
        <v>13</v>
      </c>
      <c r="H46" s="2" t="s">
        <v>32</v>
      </c>
      <c r="I46" s="2" t="s">
        <v>15</v>
      </c>
    </row>
    <row r="47" spans="1:9">
      <c r="A47" s="2" t="s">
        <v>9</v>
      </c>
      <c r="B47" s="2" t="s">
        <v>10</v>
      </c>
      <c r="C47" s="2">
        <v>2025</v>
      </c>
      <c r="D47" s="2" t="s">
        <v>30</v>
      </c>
      <c r="E47" s="2" t="s">
        <v>34</v>
      </c>
      <c r="F47" s="2">
        <v>27555663</v>
      </c>
      <c r="G47" s="2" t="s">
        <v>13</v>
      </c>
      <c r="H47" s="2" t="s">
        <v>32</v>
      </c>
      <c r="I47" s="2" t="s">
        <v>15</v>
      </c>
    </row>
    <row r="48" spans="1:9">
      <c r="A48" s="2" t="s">
        <v>9</v>
      </c>
      <c r="B48" s="2" t="s">
        <v>10</v>
      </c>
      <c r="C48" s="2">
        <v>2024</v>
      </c>
      <c r="D48" s="2" t="s">
        <v>30</v>
      </c>
      <c r="E48" s="2" t="s">
        <v>35</v>
      </c>
      <c r="F48" s="2">
        <v>8172379</v>
      </c>
      <c r="G48" s="2" t="s">
        <v>13</v>
      </c>
      <c r="H48" s="2" t="s">
        <v>32</v>
      </c>
      <c r="I48" s="2" t="s">
        <v>15</v>
      </c>
    </row>
    <row r="49" spans="1:9">
      <c r="A49" s="2" t="s">
        <v>9</v>
      </c>
      <c r="B49" s="2" t="s">
        <v>10</v>
      </c>
      <c r="C49" s="2">
        <v>2025</v>
      </c>
      <c r="D49" s="2" t="s">
        <v>30</v>
      </c>
      <c r="E49" s="2" t="s">
        <v>35</v>
      </c>
      <c r="F49" s="2">
        <v>19186495</v>
      </c>
      <c r="G49" s="2" t="s">
        <v>13</v>
      </c>
      <c r="H49" s="2" t="s">
        <v>32</v>
      </c>
      <c r="I49" s="2" t="s">
        <v>15</v>
      </c>
    </row>
    <row r="50" spans="1:9">
      <c r="A50" s="2" t="s">
        <v>9</v>
      </c>
      <c r="B50" s="2" t="s">
        <v>10</v>
      </c>
      <c r="C50" s="2">
        <v>2024</v>
      </c>
      <c r="D50" s="2" t="s">
        <v>30</v>
      </c>
      <c r="E50" s="2" t="s">
        <v>36</v>
      </c>
      <c r="F50" s="2">
        <v>21.21</v>
      </c>
      <c r="G50" s="2" t="s">
        <v>37</v>
      </c>
      <c r="H50" s="2" t="s">
        <v>32</v>
      </c>
      <c r="I50" s="2" t="s">
        <v>15</v>
      </c>
    </row>
    <row r="51" spans="1:9">
      <c r="A51" s="2" t="s">
        <v>9</v>
      </c>
      <c r="B51" s="2" t="s">
        <v>10</v>
      </c>
      <c r="C51" s="2">
        <v>2025</v>
      </c>
      <c r="D51" s="2" t="s">
        <v>30</v>
      </c>
      <c r="E51" s="2" t="s">
        <v>36</v>
      </c>
      <c r="F51" s="2">
        <v>49.17</v>
      </c>
      <c r="G51" s="2" t="s">
        <v>37</v>
      </c>
      <c r="H51" s="2" t="s">
        <v>32</v>
      </c>
      <c r="I51" s="2" t="s">
        <v>15</v>
      </c>
    </row>
    <row r="52" spans="1:9">
      <c r="A52" s="2" t="s">
        <v>9</v>
      </c>
      <c r="B52" s="2" t="s">
        <v>21</v>
      </c>
      <c r="C52" s="2">
        <v>2024</v>
      </c>
      <c r="D52" s="2" t="s">
        <v>30</v>
      </c>
      <c r="E52" s="2" t="s">
        <v>31</v>
      </c>
      <c r="F52" s="2">
        <v>51706461</v>
      </c>
      <c r="G52" s="2" t="s">
        <v>13</v>
      </c>
      <c r="H52" s="2" t="s">
        <v>19</v>
      </c>
      <c r="I52" s="2" t="s">
        <v>23</v>
      </c>
    </row>
    <row r="53" spans="1:9">
      <c r="A53" s="2" t="s">
        <v>9</v>
      </c>
      <c r="B53" s="2" t="s">
        <v>21</v>
      </c>
      <c r="C53" s="2">
        <v>2025</v>
      </c>
      <c r="D53" s="2" t="s">
        <v>30</v>
      </c>
      <c r="E53" s="2" t="s">
        <v>31</v>
      </c>
      <c r="F53" s="2">
        <v>116648199</v>
      </c>
      <c r="G53" s="2" t="s">
        <v>13</v>
      </c>
      <c r="H53" s="2" t="s">
        <v>19</v>
      </c>
      <c r="I53" s="2" t="s">
        <v>23</v>
      </c>
    </row>
    <row r="54" spans="1:9">
      <c r="A54" s="2" t="s">
        <v>9</v>
      </c>
      <c r="B54" s="2" t="s">
        <v>21</v>
      </c>
      <c r="C54" s="2">
        <v>2024</v>
      </c>
      <c r="D54" s="2" t="s">
        <v>30</v>
      </c>
      <c r="E54" s="2" t="s">
        <v>33</v>
      </c>
      <c r="F54" s="2">
        <v>7858466</v>
      </c>
      <c r="G54" s="2" t="s">
        <v>13</v>
      </c>
      <c r="H54" s="2" t="s">
        <v>19</v>
      </c>
      <c r="I54" s="2" t="s">
        <v>23</v>
      </c>
    </row>
    <row r="55" spans="1:9">
      <c r="A55" s="2" t="s">
        <v>9</v>
      </c>
      <c r="B55" s="2" t="s">
        <v>21</v>
      </c>
      <c r="C55" s="2">
        <v>2025</v>
      </c>
      <c r="D55" s="2" t="s">
        <v>30</v>
      </c>
      <c r="E55" s="2" t="s">
        <v>33</v>
      </c>
      <c r="F55" s="2">
        <v>23864959</v>
      </c>
      <c r="G55" s="2" t="s">
        <v>13</v>
      </c>
      <c r="H55" s="2" t="s">
        <v>19</v>
      </c>
      <c r="I55" s="2" t="s">
        <v>23</v>
      </c>
    </row>
    <row r="56" spans="1:9">
      <c r="A56" s="2" t="s">
        <v>9</v>
      </c>
      <c r="B56" s="2" t="s">
        <v>21</v>
      </c>
      <c r="C56" s="2">
        <v>2024</v>
      </c>
      <c r="D56" s="2" t="s">
        <v>30</v>
      </c>
      <c r="E56" s="2" t="s">
        <v>34</v>
      </c>
      <c r="F56" s="2">
        <v>5450576</v>
      </c>
      <c r="G56" s="2" t="s">
        <v>13</v>
      </c>
      <c r="H56" s="2" t="s">
        <v>19</v>
      </c>
      <c r="I56" s="2" t="s">
        <v>23</v>
      </c>
    </row>
    <row r="57" spans="1:9">
      <c r="A57" s="2" t="s">
        <v>9</v>
      </c>
      <c r="B57" s="2" t="s">
        <v>21</v>
      </c>
      <c r="C57" s="2">
        <v>2025</v>
      </c>
      <c r="D57" s="2" t="s">
        <v>30</v>
      </c>
      <c r="E57" s="2" t="s">
        <v>34</v>
      </c>
      <c r="F57" s="2">
        <v>19760774</v>
      </c>
      <c r="G57" s="2" t="s">
        <v>13</v>
      </c>
      <c r="H57" s="2" t="s">
        <v>19</v>
      </c>
      <c r="I57" s="2" t="s">
        <v>23</v>
      </c>
    </row>
    <row r="58" spans="1:9">
      <c r="A58" s="2" t="s">
        <v>9</v>
      </c>
      <c r="B58" s="2" t="s">
        <v>21</v>
      </c>
      <c r="C58" s="2">
        <v>2024</v>
      </c>
      <c r="D58" s="2" t="s">
        <v>30</v>
      </c>
      <c r="E58" s="2" t="s">
        <v>35</v>
      </c>
      <c r="F58" s="2">
        <v>8172379</v>
      </c>
      <c r="G58" s="2" t="s">
        <v>13</v>
      </c>
      <c r="H58" s="2" t="s">
        <v>19</v>
      </c>
      <c r="I58" s="2" t="s">
        <v>23</v>
      </c>
    </row>
    <row r="59" spans="1:9">
      <c r="A59" s="2" t="s">
        <v>9</v>
      </c>
      <c r="B59" s="2" t="s">
        <v>21</v>
      </c>
      <c r="C59" s="2">
        <v>2025</v>
      </c>
      <c r="D59" s="2" t="s">
        <v>30</v>
      </c>
      <c r="E59" s="2" t="s">
        <v>35</v>
      </c>
      <c r="F59" s="2">
        <v>19186495</v>
      </c>
      <c r="G59" s="2" t="s">
        <v>13</v>
      </c>
      <c r="H59" s="2" t="s">
        <v>19</v>
      </c>
      <c r="I59" s="2" t="s">
        <v>23</v>
      </c>
    </row>
    <row r="60" spans="1:9">
      <c r="A60" s="2" t="s">
        <v>9</v>
      </c>
      <c r="B60" s="2" t="s">
        <v>21</v>
      </c>
      <c r="C60" s="2">
        <v>2024</v>
      </c>
      <c r="D60" s="2" t="s">
        <v>30</v>
      </c>
      <c r="E60" s="2" t="s">
        <v>36</v>
      </c>
      <c r="F60" s="2">
        <v>21.21</v>
      </c>
      <c r="G60" s="2" t="s">
        <v>37</v>
      </c>
      <c r="H60" s="2" t="s">
        <v>19</v>
      </c>
      <c r="I60" s="2" t="s">
        <v>23</v>
      </c>
    </row>
    <row r="61" spans="1:9">
      <c r="A61" s="2" t="s">
        <v>9</v>
      </c>
      <c r="B61" s="2" t="s">
        <v>21</v>
      </c>
      <c r="C61" s="2">
        <v>2025</v>
      </c>
      <c r="D61" s="2" t="s">
        <v>30</v>
      </c>
      <c r="E61" s="2" t="s">
        <v>36</v>
      </c>
      <c r="F61" s="2">
        <v>49.17</v>
      </c>
      <c r="G61" s="2" t="s">
        <v>37</v>
      </c>
      <c r="H61" s="2" t="s">
        <v>19</v>
      </c>
      <c r="I61" s="2" t="s">
        <v>23</v>
      </c>
    </row>
    <row r="62" spans="1:9">
      <c r="A62" s="2" t="s">
        <v>24</v>
      </c>
      <c r="B62" s="2" t="s">
        <v>10</v>
      </c>
      <c r="C62" s="2">
        <v>2024</v>
      </c>
      <c r="D62" s="2" t="s">
        <v>30</v>
      </c>
      <c r="E62" s="2" t="s">
        <v>31</v>
      </c>
      <c r="F62" s="2">
        <v>15778909</v>
      </c>
      <c r="G62" s="2" t="s">
        <v>13</v>
      </c>
      <c r="H62" s="2" t="s">
        <v>38</v>
      </c>
      <c r="I62" s="2" t="s">
        <v>26</v>
      </c>
    </row>
    <row r="63" spans="1:9">
      <c r="A63" s="2" t="s">
        <v>24</v>
      </c>
      <c r="B63" s="2" t="s">
        <v>10</v>
      </c>
      <c r="C63" s="2">
        <v>2025</v>
      </c>
      <c r="D63" s="2" t="s">
        <v>30</v>
      </c>
      <c r="E63" s="2" t="s">
        <v>31</v>
      </c>
      <c r="F63" s="2">
        <v>23276344</v>
      </c>
      <c r="G63" s="2" t="s">
        <v>13</v>
      </c>
      <c r="H63" s="2" t="s">
        <v>38</v>
      </c>
      <c r="I63" s="2" t="s">
        <v>26</v>
      </c>
    </row>
    <row r="64" spans="1:9">
      <c r="A64" s="2" t="s">
        <v>24</v>
      </c>
      <c r="B64" s="2" t="s">
        <v>10</v>
      </c>
      <c r="C64" s="2">
        <v>2024</v>
      </c>
      <c r="D64" s="2" t="s">
        <v>30</v>
      </c>
      <c r="E64" s="2" t="s">
        <v>33</v>
      </c>
      <c r="F64" s="2">
        <v>4026096</v>
      </c>
      <c r="G64" s="2" t="s">
        <v>13</v>
      </c>
      <c r="H64" s="2" t="s">
        <v>38</v>
      </c>
      <c r="I64" s="2" t="s">
        <v>26</v>
      </c>
    </row>
    <row r="65" spans="1:9">
      <c r="A65" s="2" t="s">
        <v>24</v>
      </c>
      <c r="B65" s="2" t="s">
        <v>10</v>
      </c>
      <c r="C65" s="2">
        <v>2025</v>
      </c>
      <c r="D65" s="2" t="s">
        <v>30</v>
      </c>
      <c r="E65" s="2" t="s">
        <v>33</v>
      </c>
      <c r="F65" s="2">
        <v>6371904</v>
      </c>
      <c r="G65" s="2" t="s">
        <v>13</v>
      </c>
      <c r="H65" s="2" t="s">
        <v>38</v>
      </c>
      <c r="I65" s="2" t="s">
        <v>26</v>
      </c>
    </row>
    <row r="66" spans="1:9">
      <c r="A66" s="2" t="s">
        <v>24</v>
      </c>
      <c r="B66" s="2" t="s">
        <v>10</v>
      </c>
      <c r="C66" s="2">
        <v>2024</v>
      </c>
      <c r="D66" s="2" t="s">
        <v>30</v>
      </c>
      <c r="E66" s="2" t="s">
        <v>34</v>
      </c>
      <c r="F66" s="2">
        <v>1910641</v>
      </c>
      <c r="G66" s="2" t="s">
        <v>13</v>
      </c>
      <c r="H66" s="2" t="s">
        <v>38</v>
      </c>
      <c r="I66" s="2" t="s">
        <v>26</v>
      </c>
    </row>
    <row r="67" spans="1:9">
      <c r="A67" s="2" t="s">
        <v>24</v>
      </c>
      <c r="B67" s="2" t="s">
        <v>10</v>
      </c>
      <c r="C67" s="2">
        <v>2025</v>
      </c>
      <c r="D67" s="2" t="s">
        <v>30</v>
      </c>
      <c r="E67" s="2" t="s">
        <v>34</v>
      </c>
      <c r="F67" s="2">
        <v>3258929</v>
      </c>
      <c r="G67" s="2" t="s">
        <v>13</v>
      </c>
      <c r="H67" s="2" t="s">
        <v>38</v>
      </c>
      <c r="I67" s="2" t="s">
        <v>26</v>
      </c>
    </row>
    <row r="68" spans="1:9">
      <c r="A68" s="2" t="s">
        <v>24</v>
      </c>
      <c r="B68" s="2" t="s">
        <v>10</v>
      </c>
      <c r="C68" s="2">
        <v>2024</v>
      </c>
      <c r="D68" s="2" t="s">
        <v>30</v>
      </c>
      <c r="E68" s="2" t="s">
        <v>35</v>
      </c>
      <c r="F68" s="2">
        <v>1892711</v>
      </c>
      <c r="G68" s="2" t="s">
        <v>13</v>
      </c>
      <c r="H68" s="2" t="s">
        <v>38</v>
      </c>
      <c r="I68" s="2" t="s">
        <v>26</v>
      </c>
    </row>
    <row r="69" spans="1:9">
      <c r="A69" s="2" t="s">
        <v>24</v>
      </c>
      <c r="B69" s="2" t="s">
        <v>10</v>
      </c>
      <c r="C69" s="2">
        <v>2025</v>
      </c>
      <c r="D69" s="2" t="s">
        <v>30</v>
      </c>
      <c r="E69" s="2" t="s">
        <v>35</v>
      </c>
      <c r="F69" s="2">
        <v>2572128</v>
      </c>
      <c r="G69" s="2" t="s">
        <v>13</v>
      </c>
      <c r="H69" s="2" t="s">
        <v>38</v>
      </c>
      <c r="I69" s="2" t="s">
        <v>26</v>
      </c>
    </row>
    <row r="70" spans="1:9">
      <c r="A70" s="2" t="s">
        <v>24</v>
      </c>
      <c r="B70" s="2" t="s">
        <v>10</v>
      </c>
      <c r="C70" s="2">
        <v>2024</v>
      </c>
      <c r="D70" s="2" t="s">
        <v>30</v>
      </c>
      <c r="E70" s="2" t="s">
        <v>36</v>
      </c>
      <c r="F70" s="2">
        <v>21.23</v>
      </c>
      <c r="G70" s="2" t="s">
        <v>37</v>
      </c>
      <c r="H70" s="2" t="s">
        <v>38</v>
      </c>
      <c r="I70" s="2" t="s">
        <v>26</v>
      </c>
    </row>
    <row r="71" spans="1:9">
      <c r="A71" s="2" t="s">
        <v>24</v>
      </c>
      <c r="B71" s="2" t="s">
        <v>10</v>
      </c>
      <c r="C71" s="2">
        <v>2025</v>
      </c>
      <c r="D71" s="2" t="s">
        <v>30</v>
      </c>
      <c r="E71" s="2" t="s">
        <v>36</v>
      </c>
      <c r="F71" s="2">
        <v>28.26</v>
      </c>
      <c r="G71" s="2" t="s">
        <v>37</v>
      </c>
      <c r="H71" s="2" t="s">
        <v>38</v>
      </c>
      <c r="I71" s="2" t="s">
        <v>26</v>
      </c>
    </row>
    <row r="72" spans="1:9">
      <c r="A72" s="2" t="s">
        <v>9</v>
      </c>
      <c r="B72" s="2" t="s">
        <v>10</v>
      </c>
      <c r="C72" s="2">
        <v>2024</v>
      </c>
      <c r="D72" s="2" t="s">
        <v>11</v>
      </c>
      <c r="E72" s="2" t="s">
        <v>65</v>
      </c>
      <c r="F72" s="2">
        <v>6461331</v>
      </c>
      <c r="G72" s="2" t="s">
        <v>13</v>
      </c>
      <c r="H72" s="2" t="s">
        <v>14</v>
      </c>
      <c r="I72" s="2" t="s">
        <v>15</v>
      </c>
    </row>
    <row r="73" spans="1:9">
      <c r="A73" s="2" t="s">
        <v>9</v>
      </c>
      <c r="B73" s="2" t="s">
        <v>10</v>
      </c>
      <c r="C73" s="2">
        <v>2025</v>
      </c>
      <c r="D73" s="2" t="s">
        <v>11</v>
      </c>
      <c r="E73" s="2" t="s">
        <v>65</v>
      </c>
      <c r="F73" s="2">
        <v>10622882</v>
      </c>
      <c r="G73" s="2" t="s">
        <v>13</v>
      </c>
      <c r="H73" s="2" t="s">
        <v>14</v>
      </c>
      <c r="I73" s="2" t="s">
        <v>15</v>
      </c>
    </row>
    <row r="74" spans="1:9">
      <c r="A74" s="2" t="s">
        <v>9</v>
      </c>
      <c r="B74" s="2" t="s">
        <v>10</v>
      </c>
      <c r="C74" s="2">
        <v>2024</v>
      </c>
      <c r="D74" s="2" t="s">
        <v>30</v>
      </c>
      <c r="E74" s="2" t="s">
        <v>66</v>
      </c>
      <c r="F74" s="2">
        <v>9192677</v>
      </c>
      <c r="G74" s="2" t="s">
        <v>13</v>
      </c>
      <c r="H74" s="2" t="s">
        <v>32</v>
      </c>
      <c r="I74" s="2" t="s">
        <v>15</v>
      </c>
    </row>
    <row r="75" spans="1:9">
      <c r="A75" s="2" t="s">
        <v>9</v>
      </c>
      <c r="B75" s="2" t="s">
        <v>10</v>
      </c>
      <c r="C75" s="2">
        <v>2025</v>
      </c>
      <c r="D75" s="2" t="s">
        <v>30</v>
      </c>
      <c r="E75" s="2" t="s">
        <v>66</v>
      </c>
      <c r="F75" s="2">
        <v>20950520</v>
      </c>
      <c r="G75" s="2" t="s">
        <v>13</v>
      </c>
      <c r="H75" s="2" t="s">
        <v>32</v>
      </c>
      <c r="I75" s="2" t="s">
        <v>15</v>
      </c>
    </row>
    <row r="76" spans="1:9">
      <c r="A76" s="2" t="s">
        <v>9</v>
      </c>
      <c r="B76" s="2" t="s">
        <v>10</v>
      </c>
      <c r="C76" s="2">
        <v>2024</v>
      </c>
      <c r="D76" s="2" t="s">
        <v>67</v>
      </c>
      <c r="E76" s="2" t="s">
        <v>68</v>
      </c>
      <c r="F76" s="2">
        <v>9632478</v>
      </c>
      <c r="G76" s="2" t="s">
        <v>13</v>
      </c>
      <c r="H76" s="2" t="s">
        <v>69</v>
      </c>
      <c r="I76" s="2" t="s">
        <v>15</v>
      </c>
    </row>
    <row r="77" spans="1:9">
      <c r="A77" s="2" t="s">
        <v>9</v>
      </c>
      <c r="B77" s="2" t="s">
        <v>10</v>
      </c>
      <c r="C77" s="2">
        <v>2025</v>
      </c>
      <c r="D77" s="2" t="s">
        <v>67</v>
      </c>
      <c r="E77" s="2" t="s">
        <v>68</v>
      </c>
      <c r="F77" s="2">
        <v>39415135</v>
      </c>
      <c r="G77" s="2" t="s">
        <v>13</v>
      </c>
      <c r="H77" s="2" t="s">
        <v>69</v>
      </c>
      <c r="I77" s="2" t="s">
        <v>15</v>
      </c>
    </row>
    <row r="78" spans="1:9">
      <c r="A78" s="2" t="s">
        <v>9</v>
      </c>
      <c r="B78" s="2" t="s">
        <v>10</v>
      </c>
      <c r="C78" s="2">
        <v>2024</v>
      </c>
      <c r="D78" s="2" t="s">
        <v>67</v>
      </c>
      <c r="E78" s="2" t="s">
        <v>70</v>
      </c>
      <c r="F78" s="2">
        <v>4540215</v>
      </c>
      <c r="G78" s="2" t="s">
        <v>13</v>
      </c>
      <c r="H78" s="2" t="s">
        <v>69</v>
      </c>
      <c r="I78" s="2" t="s">
        <v>15</v>
      </c>
    </row>
    <row r="79" spans="1:9">
      <c r="A79" s="2" t="s">
        <v>9</v>
      </c>
      <c r="B79" s="2" t="s">
        <v>10</v>
      </c>
      <c r="C79" s="2">
        <v>2025</v>
      </c>
      <c r="D79" s="2" t="s">
        <v>67</v>
      </c>
      <c r="E79" s="2" t="s">
        <v>70</v>
      </c>
      <c r="F79" s="2">
        <v>7267324</v>
      </c>
      <c r="G79" s="2" t="s">
        <v>13</v>
      </c>
      <c r="H79" s="2" t="s">
        <v>69</v>
      </c>
      <c r="I79" s="2" t="s">
        <v>15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workbookViewId="0"/>
  </sheetViews>
  <sheetFormatPr defaultRowHeight="17"/>
  <cols>
    <col min="1" max="1" width="9.36328125" style="6" customWidth="1"/>
    <col min="2" max="2" width="11.54296875" style="6" customWidth="1"/>
    <col min="3" max="3" width="8.7265625" style="6"/>
    <col min="4" max="4" width="12.453125" style="17" customWidth="1"/>
    <col min="5" max="5" width="13.81640625" style="17" customWidth="1"/>
    <col min="6" max="6" width="11.6328125" style="17" customWidth="1"/>
    <col min="7" max="7" width="14.7265625" style="17" customWidth="1"/>
    <col min="8" max="8" width="8.7265625" style="6"/>
    <col min="9" max="11" width="8.7265625" style="19"/>
    <col min="12" max="16384" width="8.7265625" style="6"/>
  </cols>
  <sheetData>
    <row r="1" spans="1:11" s="15" customFormat="1">
      <c r="A1" s="14" t="s">
        <v>0</v>
      </c>
      <c r="B1" s="14" t="s">
        <v>1</v>
      </c>
      <c r="C1" s="14" t="s">
        <v>2</v>
      </c>
      <c r="D1" s="16" t="s">
        <v>39</v>
      </c>
      <c r="E1" s="16" t="s">
        <v>40</v>
      </c>
      <c r="F1" s="16" t="s">
        <v>41</v>
      </c>
      <c r="G1" s="16" t="s">
        <v>42</v>
      </c>
      <c r="H1" s="15" t="s">
        <v>43</v>
      </c>
      <c r="I1" s="18" t="s">
        <v>44</v>
      </c>
      <c r="J1" s="18" t="s">
        <v>45</v>
      </c>
      <c r="K1" s="18" t="s">
        <v>46</v>
      </c>
    </row>
    <row r="2" spans="1:11">
      <c r="A2" s="7" t="s">
        <v>9</v>
      </c>
      <c r="B2" s="7" t="s">
        <v>10</v>
      </c>
      <c r="C2" s="7">
        <v>2024</v>
      </c>
      <c r="D2" s="17">
        <f>SUMIFS(raw_financials!$F:$F,raw_financials!$A:$A,$A2,raw_financials!$B:$B,$B2,raw_financials!$C:$C,$C2,raw_financials!$E:$E,"Revenue")</f>
        <v>71761296</v>
      </c>
      <c r="E2" s="17">
        <f>SUMIFS(raw_financials!$F:$F,raw_financials!$A:$A,$A2,raw_financials!$B:$B,$B2,raw_financials!$C:$C,$C2,raw_financials!$E:$E,"Gross Profit")</f>
        <v>16870441</v>
      </c>
      <c r="F2" s="17">
        <f>SUMIFS(raw_financials!$F:$F,raw_financials!$A:$A,$A2,raw_financials!$B:$B,$B2,raw_financials!$C:$C,$C2,raw_financials!$E:$E,"Operating Profit")</f>
        <v>10822659</v>
      </c>
      <c r="G2" s="17">
        <f>SUMIFS(raw_financials!$F:$F,raw_financials!$A:$A,$A2,raw_financials!$B:$B,$B2,raw_financials!$C:$C,$C2,raw_financials!$E:$E,"Net Income Attributable to Parent")</f>
        <v>8172379</v>
      </c>
      <c r="H2" s="6">
        <f>SUMIFS(raw_financials!$F:$F,raw_financials!$A:$A,$A2,raw_financials!$B:$B,$B2,raw_financials!$C:$C,$C2,raw_financials!$E:$E,"Basic EPS")</f>
        <v>21.21</v>
      </c>
      <c r="I2" s="19">
        <f>E2/D2</f>
        <v>0.23509108586890626</v>
      </c>
      <c r="J2" s="19">
        <f>F2/D2</f>
        <v>0.15081470936645291</v>
      </c>
      <c r="K2" s="19">
        <f>G2/D2</f>
        <v>0.11388282340943229</v>
      </c>
    </row>
    <row r="3" spans="1:11">
      <c r="A3" s="7" t="s">
        <v>9</v>
      </c>
      <c r="B3" s="7" t="s">
        <v>10</v>
      </c>
      <c r="C3" s="7">
        <v>2025</v>
      </c>
      <c r="D3" s="17">
        <f>SUMIFS(raw_financials!$F:$F,raw_financials!$A:$A,$A3,raw_financials!$B:$B,$B3,raw_financials!$C:$C,$C3,raw_financials!$E:$E,"Revenue")</f>
        <v>139639362</v>
      </c>
      <c r="E3" s="17">
        <f>SUMIFS(raw_financials!$F:$F,raw_financials!$A:$A,$A3,raw_financials!$B:$B,$B3,raw_financials!$C:$C,$C3,raw_financials!$E:$E,"Gross Profit")</f>
        <v>36034003</v>
      </c>
      <c r="F3" s="17">
        <f>SUMIFS(raw_financials!$F:$F,raw_financials!$A:$A,$A3,raw_financials!$B:$B,$B3,raw_financials!$C:$C,$C3,raw_financials!$E:$E,"Operating Profit")</f>
        <v>27555663</v>
      </c>
      <c r="G3" s="17">
        <f>SUMIFS(raw_financials!$F:$F,raw_financials!$A:$A,$A3,raw_financials!$B:$B,$B3,raw_financials!$C:$C,$C3,raw_financials!$E:$E,"Net Income Attributable to Parent")</f>
        <v>19186495</v>
      </c>
      <c r="H3" s="6">
        <f>SUMIFS(raw_financials!$F:$F,raw_financials!$A:$A,$A3,raw_financials!$B:$B,$B3,raw_financials!$C:$C,$C3,raw_financials!$E:$E,"Basic EPS")</f>
        <v>49.17</v>
      </c>
      <c r="I3" s="19">
        <f t="shared" ref="I3:I7" si="0">E3/D3</f>
        <v>0.25805047003867004</v>
      </c>
      <c r="J3" s="19">
        <f t="shared" ref="J3:J7" si="1">F3/D3</f>
        <v>0.19733449512609488</v>
      </c>
      <c r="K3" s="19">
        <f t="shared" ref="K3:K7" si="2">G3/D3</f>
        <v>0.13740033415506439</v>
      </c>
    </row>
    <row r="4" spans="1:11">
      <c r="A4" s="7" t="s">
        <v>9</v>
      </c>
      <c r="B4" s="7" t="s">
        <v>21</v>
      </c>
      <c r="C4" s="7">
        <v>2024</v>
      </c>
      <c r="D4" s="17">
        <f>SUMIFS(raw_financials!$F:$F,raw_financials!$A:$A,$A4,raw_financials!$B:$B,$B4,raw_financials!$C:$C,$C4,raw_financials!$E:$E,"Revenue")</f>
        <v>51706461</v>
      </c>
      <c r="E4" s="17">
        <f>SUMIFS(raw_financials!$F:$F,raw_financials!$A:$A,$A4,raw_financials!$B:$B,$B4,raw_financials!$C:$C,$C4,raw_financials!$E:$E,"Gross Profit")</f>
        <v>7858466</v>
      </c>
      <c r="F4" s="17">
        <f>SUMIFS(raw_financials!$F:$F,raw_financials!$A:$A,$A4,raw_financials!$B:$B,$B4,raw_financials!$C:$C,$C4,raw_financials!$E:$E,"Operating Profit")</f>
        <v>5450576</v>
      </c>
      <c r="G4" s="17">
        <f>SUMIFS(raw_financials!$F:$F,raw_financials!$A:$A,$A4,raw_financials!$B:$B,$B4,raw_financials!$C:$C,$C4,raw_financials!$E:$E,"Net Income Attributable to Parent")</f>
        <v>8172379</v>
      </c>
      <c r="H4" s="6">
        <f>SUMIFS(raw_financials!$F:$F,raw_financials!$A:$A,$A4,raw_financials!$B:$B,$B4,raw_financials!$C:$C,$C4,raw_financials!$E:$E,"Basic EPS")</f>
        <v>21.21</v>
      </c>
      <c r="I4" s="19">
        <f t="shared" si="0"/>
        <v>0.15198228321988619</v>
      </c>
      <c r="J4" s="19">
        <f t="shared" si="1"/>
        <v>0.10541382826413125</v>
      </c>
      <c r="K4" s="19">
        <f t="shared" si="2"/>
        <v>0.15805334269541285</v>
      </c>
    </row>
    <row r="5" spans="1:11">
      <c r="A5" s="7" t="s">
        <v>9</v>
      </c>
      <c r="B5" s="7" t="s">
        <v>21</v>
      </c>
      <c r="C5" s="7">
        <v>2025</v>
      </c>
      <c r="D5" s="17">
        <f>SUMIFS(raw_financials!$F:$F,raw_financials!$A:$A,$A5,raw_financials!$B:$B,$B5,raw_financials!$C:$C,$C5,raw_financials!$E:$E,"Revenue")</f>
        <v>116648199</v>
      </c>
      <c r="E5" s="17">
        <f>SUMIFS(raw_financials!$F:$F,raw_financials!$A:$A,$A5,raw_financials!$B:$B,$B5,raw_financials!$C:$C,$C5,raw_financials!$E:$E,"Gross Profit")</f>
        <v>23864959</v>
      </c>
      <c r="F5" s="17">
        <f>SUMIFS(raw_financials!$F:$F,raw_financials!$A:$A,$A5,raw_financials!$B:$B,$B5,raw_financials!$C:$C,$C5,raw_financials!$E:$E,"Operating Profit")</f>
        <v>19760774</v>
      </c>
      <c r="G5" s="17">
        <f>SUMIFS(raw_financials!$F:$F,raw_financials!$A:$A,$A5,raw_financials!$B:$B,$B5,raw_financials!$C:$C,$C5,raw_financials!$E:$E,"Net Income Attributable to Parent")</f>
        <v>19186495</v>
      </c>
      <c r="H5" s="6">
        <f>SUMIFS(raw_financials!$F:$F,raw_financials!$A:$A,$A5,raw_financials!$B:$B,$B5,raw_financials!$C:$C,$C5,raw_financials!$E:$E,"Basic EPS")</f>
        <v>49.17</v>
      </c>
      <c r="I5" s="19">
        <f t="shared" si="0"/>
        <v>0.20458917672616617</v>
      </c>
      <c r="J5" s="19">
        <f t="shared" si="1"/>
        <v>0.16940487868141024</v>
      </c>
      <c r="K5" s="19">
        <f t="shared" si="2"/>
        <v>0.16448170794304334</v>
      </c>
    </row>
    <row r="6" spans="1:11">
      <c r="A6" s="7" t="s">
        <v>24</v>
      </c>
      <c r="B6" s="7" t="s">
        <v>10</v>
      </c>
      <c r="C6" s="7">
        <v>2024</v>
      </c>
      <c r="D6" s="17">
        <f>SUMIFS(raw_financials!$F:$F,raw_financials!$A:$A,$A6,raw_financials!$B:$B,$B6,raw_financials!$C:$C,$C6,raw_financials!$E:$E,"Revenue")</f>
        <v>15778909</v>
      </c>
      <c r="E6" s="17">
        <f>SUMIFS(raw_financials!$F:$F,raw_financials!$A:$A,$A6,raw_financials!$B:$B,$B6,raw_financials!$C:$C,$C6,raw_financials!$E:$E,"Gross Profit")</f>
        <v>4026096</v>
      </c>
      <c r="F6" s="17">
        <f>SUMIFS(raw_financials!$F:$F,raw_financials!$A:$A,$A6,raw_financials!$B:$B,$B6,raw_financials!$C:$C,$C6,raw_financials!$E:$E,"Operating Profit")</f>
        <v>1910641</v>
      </c>
      <c r="G6" s="17">
        <f>SUMIFS(raw_financials!$F:$F,raw_financials!$A:$A,$A6,raw_financials!$B:$B,$B6,raw_financials!$C:$C,$C6,raw_financials!$E:$E,"Net Income Attributable to Parent")</f>
        <v>1892711</v>
      </c>
      <c r="H6" s="6">
        <f>SUMIFS(raw_financials!$F:$F,raw_financials!$A:$A,$A6,raw_financials!$B:$B,$B6,raw_financials!$C:$C,$C6,raw_financials!$E:$E,"Basic EPS")</f>
        <v>21.23</v>
      </c>
      <c r="I6" s="19">
        <f t="shared" si="0"/>
        <v>0.25515680456741335</v>
      </c>
      <c r="J6" s="19">
        <f t="shared" si="1"/>
        <v>0.12108828309992789</v>
      </c>
      <c r="K6" s="19">
        <f t="shared" si="2"/>
        <v>0.11995195612066716</v>
      </c>
    </row>
    <row r="7" spans="1:11">
      <c r="A7" s="7" t="s">
        <v>24</v>
      </c>
      <c r="B7" s="7" t="s">
        <v>10</v>
      </c>
      <c r="C7" s="7">
        <v>2025</v>
      </c>
      <c r="D7" s="17">
        <f>SUMIFS(raw_financials!$F:$F,raw_financials!$A:$A,$A7,raw_financials!$B:$B,$B7,raw_financials!$C:$C,$C7,raw_financials!$E:$E,"Revenue")</f>
        <v>23276344</v>
      </c>
      <c r="E7" s="17">
        <f>SUMIFS(raw_financials!$F:$F,raw_financials!$A:$A,$A7,raw_financials!$B:$B,$B7,raw_financials!$C:$C,$C7,raw_financials!$E:$E,"Gross Profit")</f>
        <v>6371904</v>
      </c>
      <c r="F7" s="17">
        <f>SUMIFS(raw_financials!$F:$F,raw_financials!$A:$A,$A7,raw_financials!$B:$B,$B7,raw_financials!$C:$C,$C7,raw_financials!$E:$E,"Operating Profit")</f>
        <v>3258929</v>
      </c>
      <c r="G7" s="17">
        <f>SUMIFS(raw_financials!$F:$F,raw_financials!$A:$A,$A7,raw_financials!$B:$B,$B7,raw_financials!$C:$C,$C7,raw_financials!$E:$E,"Net Income Attributable to Parent")</f>
        <v>2572128</v>
      </c>
      <c r="H7" s="6">
        <f>SUMIFS(raw_financials!$F:$F,raw_financials!$A:$A,$A7,raw_financials!$B:$B,$B7,raw_financials!$C:$C,$C7,raw_financials!$E:$E,"Basic EPS")</f>
        <v>28.26</v>
      </c>
      <c r="I7" s="19">
        <f t="shared" si="0"/>
        <v>0.27375020750681467</v>
      </c>
      <c r="J7" s="19">
        <f t="shared" si="1"/>
        <v>0.14001034698576376</v>
      </c>
      <c r="K7" s="19">
        <f t="shared" si="2"/>
        <v>0.11050395199521025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"/>
  <sheetViews>
    <sheetView workbookViewId="0"/>
  </sheetViews>
  <sheetFormatPr defaultRowHeight="17"/>
  <cols>
    <col min="1" max="1" width="8.7265625" style="6"/>
    <col min="2" max="2" width="12.26953125" style="6" customWidth="1"/>
    <col min="3" max="3" width="8.7265625" style="6"/>
    <col min="4" max="4" width="15.453125" style="6" customWidth="1"/>
    <col min="5" max="5" width="18" style="6" customWidth="1"/>
    <col min="6" max="6" width="9.26953125" style="6" customWidth="1"/>
    <col min="7" max="7" width="14" style="6" customWidth="1"/>
    <col min="8" max="8" width="13.26953125" style="6" customWidth="1"/>
    <col min="9" max="9" width="15.81640625" style="6" customWidth="1"/>
    <col min="10" max="10" width="15.36328125" style="6" customWidth="1"/>
    <col min="11" max="11" width="9.26953125" style="6" customWidth="1"/>
    <col min="12" max="16384" width="8.7265625" style="6"/>
  </cols>
  <sheetData>
    <row r="1" spans="1:14" ht="51">
      <c r="A1" s="1" t="s">
        <v>0</v>
      </c>
      <c r="B1" s="1" t="s">
        <v>1</v>
      </c>
      <c r="C1" s="1" t="s">
        <v>2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8" t="s">
        <v>54</v>
      </c>
      <c r="L1" s="8" t="s">
        <v>55</v>
      </c>
      <c r="M1" s="8" t="s">
        <v>56</v>
      </c>
      <c r="N1" s="8" t="s">
        <v>57</v>
      </c>
    </row>
    <row r="2" spans="1:14">
      <c r="A2" s="7" t="s">
        <v>9</v>
      </c>
      <c r="B2" s="7" t="s">
        <v>10</v>
      </c>
      <c r="C2" s="7">
        <v>2024</v>
      </c>
      <c r="D2" s="3">
        <f>SUMIFS(raw_financials!$F:$F,raw_financials!$A:$A,$A2,raw_financials!$B:$B,$B2,raw_financials!$C:$C,$C2,raw_financials!$E:$E,"Current Assets")</f>
        <v>76092357</v>
      </c>
      <c r="E2" s="6">
        <f>SUMIFS(raw_financials!$F:$F,raw_financials!$A:$A,$A2,raw_financials!$B:$B,$B2,raw_financials!$C:$C,$C2,raw_financials!$E:$E,"Current Liabilities")</f>
        <v>58288126</v>
      </c>
      <c r="F2" s="6">
        <f>SUMIFS(raw_financials!$F:$F,raw_financials!$A:$A,$A2,raw_financials!$B:$B,$B2,raw_financials!$C:$C,$C2,raw_financials!$E:$E,"Cash and Cash Equivalents")</f>
        <v>29923508</v>
      </c>
      <c r="G2" s="6">
        <f>SUMIFS(raw_financials!$F:$F,raw_financials!$A:$A,$A2,raw_financials!$B:$B,$B2,raw_financials!$C:$C,$C2,raw_financials!$E:$E,"Total Assets")</f>
        <v>99905561</v>
      </c>
      <c r="H2" s="6">
        <f>D2/E2</f>
        <v>1.3054521087193642</v>
      </c>
      <c r="I2" s="6">
        <f>F2/E2</f>
        <v>0.51337227757159321</v>
      </c>
      <c r="J2" s="6">
        <f>(D2-E2)/G2</f>
        <v>0.17821061031827848</v>
      </c>
      <c r="K2" s="8">
        <f>SUMIFS(raw_financials!$F:$F,raw_financials!$A:$A,$A2,raw_financials!$B:$B,$B2,raw_financials!$C:$C,$C2,raw_financials!$E:$E,"Inventory")</f>
        <v>33397345</v>
      </c>
      <c r="L2" s="6">
        <f>SUMIFS(raw_financials!$F:$F,raw_financials!$A:$A,$A2,raw_financials!$B:$B,$B2,raw_financials!$C:$C,$C2,raw_financials!$E:$E,"Prepayments")</f>
        <v>751509</v>
      </c>
      <c r="M2" s="6">
        <f>SUMIFS(raw_financials!$F:$F,raw_financials!$A:$A,$A2,raw_financials!$B:$B,$B2,raw_financials!$C:$C,$C2,raw_financials!$E:$E,"Other Current Assets")</f>
        <v>1637875</v>
      </c>
      <c r="N2" s="6">
        <f>(D2-K2-L2-M2)/E2</f>
        <v>0.6914895153774544</v>
      </c>
    </row>
    <row r="3" spans="1:14">
      <c r="A3" s="7" t="s">
        <v>9</v>
      </c>
      <c r="B3" s="7" t="s">
        <v>10</v>
      </c>
      <c r="C3" s="7">
        <v>2025</v>
      </c>
      <c r="D3" s="3">
        <f>SUMIFS(raw_financials!$F:$F,raw_financials!$A:$A,$A3,raw_financials!$B:$B,$B3,raw_financials!$C:$C,$C3,raw_financials!$E:$E,"Current Assets")</f>
        <v>126176263</v>
      </c>
      <c r="E3" s="6">
        <f>SUMIFS(raw_financials!$F:$F,raw_financials!$A:$A,$A3,raw_financials!$B:$B,$B3,raw_financials!$C:$C,$C3,raw_financials!$E:$E,"Current Liabilities")</f>
        <v>97495418</v>
      </c>
      <c r="F3" s="6">
        <f>SUMIFS(raw_financials!$F:$F,raw_financials!$A:$A,$A3,raw_financials!$B:$B,$B3,raw_financials!$C:$C,$C3,raw_financials!$E:$E,"Cash and Cash Equivalents")</f>
        <v>58529798</v>
      </c>
      <c r="G3" s="6">
        <f>SUMIFS(raw_financials!$F:$F,raw_financials!$A:$A,$A3,raw_financials!$B:$B,$B3,raw_financials!$C:$C,$C3,raw_financials!$E:$E,"Total Assets")</f>
        <v>160136525</v>
      </c>
      <c r="H3" s="6">
        <f t="shared" ref="H3:H7" si="0">D3/E3</f>
        <v>1.2941763375997835</v>
      </c>
      <c r="I3" s="6">
        <f t="shared" ref="I3:I7" si="1">F3/E3</f>
        <v>0.6003338331243423</v>
      </c>
      <c r="J3" s="6">
        <f t="shared" ref="J3:J7" si="2">(D3-E3)/G3</f>
        <v>0.17910245648205492</v>
      </c>
      <c r="K3" s="8">
        <f>SUMIFS(raw_financials!$F:$F,raw_financials!$A:$A,$A3,raw_financials!$B:$B,$B3,raw_financials!$C:$C,$C3,raw_financials!$E:$E,"Inventory")</f>
        <v>49572264</v>
      </c>
      <c r="L3" s="6">
        <f>SUMIFS(raw_financials!$F:$F,raw_financials!$A:$A,$A3,raw_financials!$B:$B,$B3,raw_financials!$C:$C,$C3,raw_financials!$E:$E,"Prepayments")</f>
        <v>690460</v>
      </c>
      <c r="M3" s="6">
        <f>SUMIFS(raw_financials!$F:$F,raw_financials!$A:$A,$A3,raw_financials!$B:$B,$B3,raw_financials!$C:$C,$C3,raw_financials!$E:$E,"Other Current Assets")</f>
        <v>2259558</v>
      </c>
      <c r="N3" s="6">
        <f t="shared" ref="N3:N7" si="3">(D3-K3-L3-M3)/E3</f>
        <v>0.75546094894428784</v>
      </c>
    </row>
    <row r="4" spans="1:14">
      <c r="A4" s="7" t="s">
        <v>9</v>
      </c>
      <c r="B4" s="7" t="s">
        <v>21</v>
      </c>
      <c r="C4" s="7">
        <v>2024</v>
      </c>
      <c r="D4" s="3">
        <f>SUMIFS(raw_financials!$F:$F,raw_financials!$A:$A,$A4,raw_financials!$B:$B,$B4,raw_financials!$C:$C,$C4,raw_financials!$E:$E,"Current Assets")</f>
        <v>40244122</v>
      </c>
      <c r="E4" s="6">
        <f>SUMIFS(raw_financials!$F:$F,raw_financials!$A:$A,$A4,raw_financials!$B:$B,$B4,raw_financials!$C:$C,$C4,raw_financials!$E:$E,"Current Liabilities")</f>
        <v>34675005</v>
      </c>
      <c r="F4" s="6">
        <f>SUMIFS(raw_financials!$F:$F,raw_financials!$A:$A,$A4,raw_financials!$B:$B,$B4,raw_financials!$C:$C,$C4,raw_financials!$E:$E,"Cash and Cash Equivalents")</f>
        <v>13257003</v>
      </c>
      <c r="G4" s="6">
        <f>SUMIFS(raw_financials!$F:$F,raw_financials!$A:$A,$A4,raw_financials!$B:$B,$B4,raw_financials!$C:$C,$C4,raw_financials!$E:$E,"Total Assets")</f>
        <v>68223791</v>
      </c>
      <c r="H4" s="6">
        <f t="shared" si="0"/>
        <v>1.1606089746778696</v>
      </c>
      <c r="I4" s="6">
        <f t="shared" si="1"/>
        <v>0.38232158870633182</v>
      </c>
      <c r="J4" s="6">
        <f t="shared" si="2"/>
        <v>8.1630131049152635E-2</v>
      </c>
      <c r="K4" s="8">
        <f>SUMIFS(raw_financials!$F:$F,raw_financials!$A:$A,$A4,raw_financials!$B:$B,$B4,raw_financials!$C:$C,$C4,raw_financials!$E:$E,"Inventory")</f>
        <v>21900717</v>
      </c>
      <c r="L4" s="6">
        <f>SUMIFS(raw_financials!$F:$F,raw_financials!$A:$A,$A4,raw_financials!$B:$B,$B4,raw_financials!$C:$C,$C4,raw_financials!$E:$E,"Prepayments")</f>
        <v>28261</v>
      </c>
      <c r="M4" s="6">
        <f>SUMIFS(raw_financials!$F:$F,raw_financials!$A:$A,$A4,raw_financials!$B:$B,$B4,raw_financials!$C:$C,$C4,raw_financials!$E:$E,"Other Current Assets")</f>
        <v>6884</v>
      </c>
      <c r="N4" s="6">
        <f t="shared" si="3"/>
        <v>0.52799588637406103</v>
      </c>
    </row>
    <row r="5" spans="1:14">
      <c r="A5" s="7" t="s">
        <v>9</v>
      </c>
      <c r="B5" s="7" t="s">
        <v>21</v>
      </c>
      <c r="C5" s="7">
        <v>2025</v>
      </c>
      <c r="D5" s="3">
        <f>SUMIFS(raw_financials!$F:$F,raw_financials!$A:$A,$A5,raw_financials!$B:$B,$B5,raw_financials!$C:$C,$C5,raw_financials!$E:$E,"Current Assets")</f>
        <v>80361338</v>
      </c>
      <c r="E5" s="6">
        <f>SUMIFS(raw_financials!$F:$F,raw_financials!$A:$A,$A5,raw_financials!$B:$B,$B5,raw_financials!$C:$C,$C5,raw_financials!$E:$E,"Current Liabilities")</f>
        <v>59385070</v>
      </c>
      <c r="F5" s="6">
        <f>SUMIFS(raw_financials!$F:$F,raw_financials!$A:$A,$A5,raw_financials!$B:$B,$B5,raw_financials!$C:$C,$C5,raw_financials!$E:$E,"Cash and Cash Equivalents")</f>
        <v>34150617</v>
      </c>
      <c r="G5" s="6">
        <f>SUMIFS(raw_financials!$F:$F,raw_financials!$A:$A,$A5,raw_financials!$B:$B,$B5,raw_financials!$C:$C,$C5,raw_financials!$E:$E,"Total Assets")</f>
        <v>112556283</v>
      </c>
      <c r="H5" s="6">
        <f t="shared" si="0"/>
        <v>1.3532246067908988</v>
      </c>
      <c r="I5" s="6">
        <f t="shared" si="1"/>
        <v>0.57507075431585752</v>
      </c>
      <c r="J5" s="6">
        <f t="shared" si="2"/>
        <v>0.1863624796494035</v>
      </c>
      <c r="K5" s="8">
        <f>SUMIFS(raw_financials!$F:$F,raw_financials!$A:$A,$A5,raw_financials!$B:$B,$B5,raw_financials!$C:$C,$C5,raw_financials!$E:$E,"Inventory")</f>
        <v>36915146</v>
      </c>
      <c r="L5" s="6">
        <f>SUMIFS(raw_financials!$F:$F,raw_financials!$A:$A,$A5,raw_financials!$B:$B,$B5,raw_financials!$C:$C,$C5,raw_financials!$E:$E,"Prepayments")</f>
        <v>61180</v>
      </c>
      <c r="M5" s="6">
        <f>SUMIFS(raw_financials!$F:$F,raw_financials!$A:$A,$A5,raw_financials!$B:$B,$B5,raw_financials!$C:$C,$C5,raw_financials!$E:$E,"Other Current Assets")</f>
        <v>16422</v>
      </c>
      <c r="N5" s="6">
        <f t="shared" si="3"/>
        <v>0.73029449994754569</v>
      </c>
    </row>
    <row r="6" spans="1:14">
      <c r="A6" s="7" t="s">
        <v>24</v>
      </c>
      <c r="B6" s="7" t="s">
        <v>10</v>
      </c>
      <c r="C6" s="7">
        <v>2024</v>
      </c>
      <c r="D6" s="3">
        <f>SUMIFS(raw_financials!$F:$F,raw_financials!$A:$A,$A6,raw_financials!$B:$B,$B6,raw_financials!$C:$C,$C6,raw_financials!$E:$E,"Current Assets")</f>
        <v>11679883</v>
      </c>
      <c r="E6" s="6">
        <f>SUMIFS(raw_financials!$F:$F,raw_financials!$A:$A,$A6,raw_financials!$B:$B,$B6,raw_financials!$C:$C,$C6,raw_financials!$E:$E,"Current Liabilities")</f>
        <v>5901656</v>
      </c>
      <c r="F6" s="6">
        <f>SUMIFS(raw_financials!$F:$F,raw_financials!$A:$A,$A6,raw_financials!$B:$B,$B6,raw_financials!$C:$C,$C6,raw_financials!$E:$E,"Cash and Cash Equivalents")</f>
        <v>2808811</v>
      </c>
      <c r="G6" s="6">
        <f>SUMIFS(raw_financials!$F:$F,raw_financials!$A:$A,$A6,raw_financials!$B:$B,$B6,raw_financials!$C:$C,$C6,raw_financials!$E:$E,"Total Assets")</f>
        <v>16926376</v>
      </c>
      <c r="H6" s="6">
        <f t="shared" si="0"/>
        <v>1.9790857006914668</v>
      </c>
      <c r="I6" s="6">
        <f t="shared" si="1"/>
        <v>0.47593607624707368</v>
      </c>
      <c r="J6" s="6">
        <f t="shared" si="2"/>
        <v>0.3413741370273235</v>
      </c>
      <c r="K6" s="8">
        <f>SUMIFS(raw_financials!$F:$F,raw_financials!$A:$A,$A6,raw_financials!$B:$B,$B6,raw_financials!$C:$C,$C6,raw_financials!$E:$E,"Inventory")</f>
        <v>2809505</v>
      </c>
      <c r="L6" s="6">
        <f>SUMIFS(raw_financials!$F:$F,raw_financials!$A:$A,$A6,raw_financials!$B:$B,$B6,raw_financials!$C:$C,$C6,raw_financials!$E:$E,"Prepayments")</f>
        <v>0</v>
      </c>
      <c r="M6" s="6">
        <f>SUMIFS(raw_financials!$F:$F,raw_financials!$A:$A,$A6,raw_financials!$B:$B,$B6,raw_financials!$C:$C,$C6,raw_financials!$E:$E,"Other Current Assets")</f>
        <v>475050</v>
      </c>
      <c r="N6" s="6">
        <f t="shared" si="3"/>
        <v>1.4225376741714528</v>
      </c>
    </row>
    <row r="7" spans="1:14">
      <c r="A7" s="7" t="s">
        <v>24</v>
      </c>
      <c r="B7" s="7" t="s">
        <v>10</v>
      </c>
      <c r="C7" s="7">
        <v>2025</v>
      </c>
      <c r="D7" s="3">
        <f>SUMIFS(raw_financials!$F:$F,raw_financials!$A:$A,$A7,raw_financials!$B:$B,$B7,raw_financials!$C:$C,$C7,raw_financials!$E:$E,"Current Assets")</f>
        <v>18587376</v>
      </c>
      <c r="E7" s="6">
        <f>SUMIFS(raw_financials!$F:$F,raw_financials!$A:$A,$A7,raw_financials!$B:$B,$B7,raw_financials!$C:$C,$C7,raw_financials!$E:$E,"Current Liabilities")</f>
        <v>12522996</v>
      </c>
      <c r="F7" s="6">
        <f>SUMIFS(raw_financials!$F:$F,raw_financials!$A:$A,$A7,raw_financials!$B:$B,$B7,raw_financials!$C:$C,$C7,raw_financials!$E:$E,"Cash and Cash Equivalents")</f>
        <v>1438936</v>
      </c>
      <c r="G7" s="6">
        <f>SUMIFS(raw_financials!$F:$F,raw_financials!$A:$A,$A7,raw_financials!$B:$B,$B7,raw_financials!$C:$C,$C7,raw_financials!$E:$E,"Total Assets")</f>
        <v>26124609</v>
      </c>
      <c r="H7" s="6">
        <f t="shared" si="0"/>
        <v>1.4842595174509359</v>
      </c>
      <c r="I7" s="6">
        <f t="shared" si="1"/>
        <v>0.11490349433953345</v>
      </c>
      <c r="J7" s="6">
        <f t="shared" si="2"/>
        <v>0.23213285220842922</v>
      </c>
      <c r="K7" s="8">
        <f>SUMIFS(raw_financials!$F:$F,raw_financials!$A:$A,$A7,raw_financials!$B:$B,$B7,raw_financials!$C:$C,$C7,raw_financials!$E:$E,"Inventory")</f>
        <v>6057435</v>
      </c>
      <c r="L7" s="6">
        <f>SUMIFS(raw_financials!$F:$F,raw_financials!$A:$A,$A7,raw_financials!$B:$B,$B7,raw_financials!$C:$C,$C7,raw_financials!$E:$E,"Prepayments")</f>
        <v>0</v>
      </c>
      <c r="M7" s="6">
        <f>SUMIFS(raw_financials!$F:$F,raw_financials!$A:$A,$A7,raw_financials!$B:$B,$B7,raw_financials!$C:$C,$C7,raw_financials!$E:$E,"Other Current Assets")</f>
        <v>842124</v>
      </c>
      <c r="N7" s="6">
        <f t="shared" si="3"/>
        <v>0.93330837125556854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"/>
  <sheetViews>
    <sheetView workbookViewId="0"/>
  </sheetViews>
  <sheetFormatPr defaultRowHeight="17"/>
  <cols>
    <col min="1" max="1" width="27.7265625" style="6" customWidth="1"/>
    <col min="2" max="5" width="8.7265625" style="6"/>
    <col min="6" max="7" width="8.7265625" style="6" customWidth="1"/>
    <col min="8" max="8" width="12.6328125" style="6" customWidth="1"/>
    <col min="9" max="16384" width="8.7265625" style="6"/>
  </cols>
  <sheetData>
    <row r="1" spans="1:20" s="10" customFormat="1" ht="23.4" customHeight="1">
      <c r="A1" s="1" t="s">
        <v>58</v>
      </c>
      <c r="B1" s="1">
        <v>2024</v>
      </c>
      <c r="C1" s="1">
        <v>2025</v>
      </c>
      <c r="F1" s="20" t="s">
        <v>59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</row>
    <row r="2" spans="1:20">
      <c r="A2" s="8" t="s">
        <v>60</v>
      </c>
      <c r="B2" s="11">
        <f>liquidity_metrics!H2</f>
        <v>1.3054521087193642</v>
      </c>
      <c r="C2" s="11">
        <f>liquidity_metrics!H3</f>
        <v>1.2941763375997835</v>
      </c>
    </row>
    <row r="3" spans="1:20">
      <c r="A3" s="8" t="s">
        <v>61</v>
      </c>
      <c r="B3" s="11">
        <f>liquidity_metrics!H4</f>
        <v>1.1606089746778696</v>
      </c>
      <c r="C3" s="11">
        <f>liquidity_metrics!H5</f>
        <v>1.3532246067908988</v>
      </c>
    </row>
    <row r="4" spans="1:20">
      <c r="A4" s="8" t="s">
        <v>62</v>
      </c>
      <c r="B4" s="11">
        <f>liquidity_metrics!H6</f>
        <v>1.9790857006914668</v>
      </c>
      <c r="C4" s="11">
        <f>liquidity_metrics!H7</f>
        <v>1.4842595174509359</v>
      </c>
    </row>
    <row r="7" spans="1:20">
      <c r="A7" s="8" t="s">
        <v>58</v>
      </c>
      <c r="B7" s="8">
        <v>2024</v>
      </c>
      <c r="C7" s="8">
        <v>2025</v>
      </c>
    </row>
    <row r="8" spans="1:20">
      <c r="A8" s="8" t="s">
        <v>60</v>
      </c>
      <c r="B8" s="11">
        <f>liquidity_metrics!N2</f>
        <v>0.6914895153774544</v>
      </c>
      <c r="C8" s="11">
        <f>liquidity_metrics!N3</f>
        <v>0.75546094894428784</v>
      </c>
    </row>
    <row r="9" spans="1:20">
      <c r="A9" s="8" t="s">
        <v>61</v>
      </c>
      <c r="B9" s="11">
        <f>liquidity_metrics!N4</f>
        <v>0.52799588637406103</v>
      </c>
      <c r="C9" s="11">
        <f>liquidity_metrics!N5</f>
        <v>0.73029449994754569</v>
      </c>
    </row>
    <row r="10" spans="1:20">
      <c r="A10" s="8" t="s">
        <v>62</v>
      </c>
      <c r="B10" s="11">
        <f>liquidity_metrics!N6</f>
        <v>1.4225376741714528</v>
      </c>
      <c r="C10" s="11">
        <f>liquidity_metrics!N7</f>
        <v>0.93330837125556854</v>
      </c>
    </row>
    <row r="15" spans="1:20" ht="51">
      <c r="F15" s="9" t="s">
        <v>58</v>
      </c>
      <c r="G15" s="9" t="s">
        <v>63</v>
      </c>
      <c r="H15" s="9" t="s">
        <v>64</v>
      </c>
    </row>
    <row r="16" spans="1:20" ht="51">
      <c r="F16" s="8" t="s">
        <v>60</v>
      </c>
      <c r="G16" s="13">
        <f>liquidity_metrics!H3-liquidity_metrics!H2</f>
        <v>-1.127577111958078E-2</v>
      </c>
      <c r="H16" s="12">
        <f>liquidity_metrics!N3-liquidity_metrics!N2</f>
        <v>6.3971433566833436E-2</v>
      </c>
    </row>
    <row r="17" spans="6:8" ht="51">
      <c r="F17" s="8" t="s">
        <v>61</v>
      </c>
      <c r="G17" s="12">
        <f>liquidity_metrics!H5-liquidity_metrics!H4</f>
        <v>0.19261563211302923</v>
      </c>
      <c r="H17" s="12">
        <f>liquidity_metrics!N5-liquidity_metrics!N4</f>
        <v>0.20229861357348466</v>
      </c>
    </row>
    <row r="18" spans="6:8" ht="51">
      <c r="F18" s="8" t="s">
        <v>62</v>
      </c>
      <c r="G18" s="13">
        <f>liquidity_metrics!H7-liquidity_metrics!H6</f>
        <v>-0.49482618324053096</v>
      </c>
      <c r="H18" s="13">
        <f>liquidity_metrics!N7-liquidity_metrics!N6</f>
        <v>-0.48922930291588429</v>
      </c>
    </row>
  </sheetData>
  <mergeCells count="1">
    <mergeCell ref="F1:T1"/>
  </mergeCells>
  <phoneticPr fontId="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raw_financials</vt:lpstr>
      <vt:lpstr>profitability_metrics</vt:lpstr>
      <vt:lpstr>liquidity_metrics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亭云 王</cp:lastModifiedBy>
  <dcterms:modified xsi:type="dcterms:W3CDTF">2026-07-29T05:39:04Z</dcterms:modified>
</cp:coreProperties>
</file>